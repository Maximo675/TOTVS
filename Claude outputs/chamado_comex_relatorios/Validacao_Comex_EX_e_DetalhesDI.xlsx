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EX_para_validar" sheetId="2" state="visible" r:id="rId4"/>
    <sheet name="Faltam_no_cadastro_PO886" sheetId="3" state="visible" r:id="rId5"/>
  </sheets>
  <definedNames>
    <definedName function="false" hidden="true" localSheetId="1" name="_xlnm._FilterDatabase" vbProcedure="false">EX_para_validar!$A$1:$O$147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<sst xmlns="http://schemas.openxmlformats.org/spreadsheetml/2006/main" count="1392" uniqueCount="514">
  <si>
    <t xml:space="preserve">Validação Comex — carga de EX-tarifário e Detalhes DI no cadastro de produtos (Protheus)</t>
  </si>
  <si>
    <t xml:space="preserve">Chamado: Comex — relatórios perdidos na migração SAP → TOTVS (Rascunho DUIMP). Gerado em 02/10/2026 a partir do ambiente de desenvolvimento (cópia até ~13/08/2026).</t>
  </si>
  <si>
    <t xml:space="preserve">NADA foi alterado no sistema. Esta planilha é só a proposta para o Comex conferir antes de qualquer carga.</t>
  </si>
  <si>
    <t xml:space="preserve">Por que existe:</t>
  </si>
  <si>
    <t xml:space="preserve">• O campo padrão de EX do produto (B1_EX_NCM, "Ex-NCM — determina % I.I.") existe, mas está vazio em TODOS os 4.308 registros de produto.</t>
  </si>
  <si>
    <t xml:space="preserve">• O Rascunho DUIMP precisa dele. A única fonte hoje é a aba "ITENS COM EX - 2026" da planilha do Comex (3.248 itens).</t>
  </si>
  <si>
    <t xml:space="preserve">• Desses 3.248, só 146 correspondem a um produto cadastrado no Protheus (144 pelo código Protheus, 2 pelo código SAP). Os outros 3.102 não têm produto no Protheus.</t>
  </si>
  <si>
    <t xml:space="preserve">Como preencher (só as colunas em AMARELO):</t>
  </si>
  <si>
    <t xml:space="preserve">• Aba EX_para_validar: em "Validação Comex" escreva OK (EX correto) ou CORRIGIR. Se CORRIGIR, informe o EX certo em "EX corrigido" (3 dígitos, ex. 002) ou deixe vazio para não carregar.</t>
  </si>
  <si>
    <t xml:space="preserve">• A coluna "NCM confere?" é automática. DIVERGE = NCM do cadastro diferente da NCM da aba de EX: o EX vale para uma NCM, então esses itens precisam de atenção (9 casos).</t>
  </si>
  <si>
    <t xml:space="preserve">• Aba Faltam_no_cadastro_PO886: itens da PO 886 cujo EX e/ou Detalhes DI aparecem no modelo do Comex mas não estão no cadastro nem na aba de EX. O texto proposto veio do próprio modelo.</t>
  </si>
  <si>
    <t xml:space="preserve">• Exemplo de linha preenchida: Validação Comex = OK ; EX corrigido = (vazio) ; Observação = (vazio).</t>
  </si>
  <si>
    <t xml:space="preserve">Resumo</t>
  </si>
  <si>
    <t xml:space="preserve">Produtos com EX proposto</t>
  </si>
  <si>
    <t xml:space="preserve">  NCM confere</t>
  </si>
  <si>
    <t xml:space="preserve">  NCM diverge (atenção)</t>
  </si>
  <si>
    <t xml:space="preserve">  Validados OK pelo Comex</t>
  </si>
  <si>
    <t xml:space="preserve">  Marcados para corrigir</t>
  </si>
  <si>
    <t xml:space="preserve">  Ainda sem validação</t>
  </si>
  <si>
    <t xml:space="preserve">Código Protheus</t>
  </si>
  <si>
    <t xml:space="preserve">Código SAP (cadastro)</t>
  </si>
  <si>
    <t xml:space="preserve">Descrição (cadastro)</t>
  </si>
  <si>
    <t xml:space="preserve">Fornecedor (aba EX)</t>
  </si>
  <si>
    <t xml:space="preserve">NCM cadastro (B1_POSIPI)</t>
  </si>
  <si>
    <t xml:space="preserve">NCM aba EX</t>
  </si>
  <si>
    <t xml:space="preserve">NCM confere?</t>
  </si>
  <si>
    <t xml:space="preserve">EX proposto (aba EX)</t>
  </si>
  <si>
    <t xml:space="preserve">Vigência do EX (aba)</t>
  </si>
  <si>
    <t xml:space="preserve">Alíquota II % (aba)</t>
  </si>
  <si>
    <t xml:space="preserve">Filiais onde o produto existe</t>
  </si>
  <si>
    <t xml:space="preserve">Casado por</t>
  </si>
  <si>
    <t xml:space="preserve">Validação Comex</t>
  </si>
  <si>
    <t xml:space="preserve">EX corrigido</t>
  </si>
  <si>
    <t xml:space="preserve">Observação</t>
  </si>
  <si>
    <t xml:space="preserve">RV-012-00023</t>
  </si>
  <si>
    <t xml:space="preserve">I002837</t>
  </si>
  <si>
    <t xml:space="preserve">REDUTOR PLANETARIO APEX AE205-060-SWA-71-9.3-30</t>
  </si>
  <si>
    <t xml:space="preserve">APEX</t>
  </si>
  <si>
    <t xml:space="preserve">84834010</t>
  </si>
  <si>
    <t xml:space="preserve">8483.40.10</t>
  </si>
  <si>
    <t xml:space="preserve">217</t>
  </si>
  <si>
    <t xml:space="preserve">3001</t>
  </si>
  <si>
    <t xml:space="preserve">RV-012-00025</t>
  </si>
  <si>
    <t xml:space="preserve">I005146</t>
  </si>
  <si>
    <t xml:space="preserve">REDUTOR PLANETARIO AP NEO-AT110FH-010-MPL-B4530F</t>
  </si>
  <si>
    <t xml:space="preserve">RV-012-00026</t>
  </si>
  <si>
    <t xml:space="preserve">I005160</t>
  </si>
  <si>
    <t xml:space="preserve">REDUTOR PLANETARIO AP NEO-AE050-005-MPL-B220T</t>
  </si>
  <si>
    <t xml:space="preserve">RV-012-00030</t>
  </si>
  <si>
    <t xml:space="preserve">I006253</t>
  </si>
  <si>
    <t xml:space="preserve">REDUTOR PLANETARIO AP NEO- AD110M1-020-P2-1FK7063-2AH71</t>
  </si>
  <si>
    <t xml:space="preserve">RV-012-00032</t>
  </si>
  <si>
    <t xml:space="preserve">I006263</t>
  </si>
  <si>
    <t xml:space="preserve">REDUTOR PLANETARIO AP NEO-AE205-010-BSH-2051M-D57N4</t>
  </si>
  <si>
    <t xml:space="preserve">RV-012-00033</t>
  </si>
  <si>
    <t xml:space="preserve">I006264</t>
  </si>
  <si>
    <t xml:space="preserve">REDUTOR PLANETARIO AP NEO- AF180-100-S2-P0-BSH-1401P-D34N</t>
  </si>
  <si>
    <t xml:space="preserve">RV-012-00034</t>
  </si>
  <si>
    <t xml:space="preserve">I006265</t>
  </si>
  <si>
    <t xml:space="preserve">REDUTOR PLANETARIO AP NEO- AF220-100-S2-P0-BSH-2051M-D57N</t>
  </si>
  <si>
    <t xml:space="preserve">RV-012-00035</t>
  </si>
  <si>
    <t xml:space="preserve">I006430</t>
  </si>
  <si>
    <t xml:space="preserve">REDUTOR PLANETARIO AP NEO- AER070-007-SMB826003714230</t>
  </si>
  <si>
    <t xml:space="preserve">RV-012-00036</t>
  </si>
  <si>
    <t xml:space="preserve">I006469</t>
  </si>
  <si>
    <t xml:space="preserve">REDUTOR PLANETARIO AP NEO-AD140-020-P2-1FT6084-8SF71</t>
  </si>
  <si>
    <t xml:space="preserve">RV-012-00037</t>
  </si>
  <si>
    <t xml:space="preserve">I006593</t>
  </si>
  <si>
    <t xml:space="preserve">REDUTOR PLANETARIO AP NEO-AD090-031-P0-AKM32E-GC-320</t>
  </si>
  <si>
    <t xml:space="preserve">RV-012-00038</t>
  </si>
  <si>
    <t xml:space="preserve">I006738</t>
  </si>
  <si>
    <t xml:space="preserve">REDUTOR PLANETARIO AP NEO-AER070-020-ECMA-C20604</t>
  </si>
  <si>
    <t xml:space="preserve">RV-012-00046</t>
  </si>
  <si>
    <t xml:space="preserve">I007498</t>
  </si>
  <si>
    <t xml:space="preserve">REDUTOR PLANETARIO AP NEO- AD090M1-010-P2-1FK7063-2AH71</t>
  </si>
  <si>
    <t xml:space="preserve">RV-012-00050</t>
  </si>
  <si>
    <t xml:space="preserve">I008945</t>
  </si>
  <si>
    <t xml:space="preserve">REDUTOR PLANETARIO AP NEO- AF100-005-S2-P2-MPL-A420P-GE</t>
  </si>
  <si>
    <t xml:space="preserve">RV-012-00058</t>
  </si>
  <si>
    <t xml:space="preserve">I009683</t>
  </si>
  <si>
    <t xml:space="preserve">REDUTOR PLANETARIO AP NEO- AD200-010-P2-MDME154S1-ID</t>
  </si>
  <si>
    <t xml:space="preserve">RV-012-00059</t>
  </si>
  <si>
    <t xml:space="preserve">I009684</t>
  </si>
  <si>
    <t xml:space="preserve">REDUTOR PLANETARIO AP NEO- AD255-010-P2-1326AB-B740C/4-ID</t>
  </si>
  <si>
    <t xml:space="preserve">RV-012-00062</t>
  </si>
  <si>
    <t xml:space="preserve">I009738</t>
  </si>
  <si>
    <t xml:space="preserve">REDUTOR PLANETARIO AP NEO- AE070-005-VPL-B0752F</t>
  </si>
  <si>
    <t xml:space="preserve">RV-012-00064</t>
  </si>
  <si>
    <t xml:space="preserve">I009803</t>
  </si>
  <si>
    <t xml:space="preserve">REDUTOR PLANETARIO AP NEO-KH110-016-VPL-B1153E</t>
  </si>
  <si>
    <t xml:space="preserve">RV-012-00069</t>
  </si>
  <si>
    <t xml:space="preserve">I010072</t>
  </si>
  <si>
    <t xml:space="preserve">REDUTOR PLANETARIO AP AB180-005-S2-P2-SGMGH-1AA</t>
  </si>
  <si>
    <t xml:space="preserve">RV-012-00072</t>
  </si>
  <si>
    <t xml:space="preserve">I010265</t>
  </si>
  <si>
    <t xml:space="preserve">REDUTOR PLANETARIO AP NEO- ATB090FC-010-VPL-B1002M-GE-ID</t>
  </si>
  <si>
    <t xml:space="preserve">RV-012-00074</t>
  </si>
  <si>
    <t xml:space="preserve">I010324</t>
  </si>
  <si>
    <t xml:space="preserve">REDUTOR PLANETARIO AP NEO- AB115-003-S2-P2-BMH1403P</t>
  </si>
  <si>
    <t xml:space="preserve">RV-012-00080</t>
  </si>
  <si>
    <t xml:space="preserve">I010939</t>
  </si>
  <si>
    <t xml:space="preserve">REDUTOR PLANETARIO AP NEO- AE090M1-010-HG-SR52-GE</t>
  </si>
  <si>
    <t xml:space="preserve">RV-012-00081</t>
  </si>
  <si>
    <t xml:space="preserve">I010945</t>
  </si>
  <si>
    <t xml:space="preserve">REDUTOR PLANETARIO AP NEO- AE155-005-HG-SR502-GE</t>
  </si>
  <si>
    <t xml:space="preserve">RV-012-00083</t>
  </si>
  <si>
    <t xml:space="preserve">I011056</t>
  </si>
  <si>
    <t xml:space="preserve">REDUTOR PLANETARIO AP NEO- AD200-050-P2-SWA-71-15-30</t>
  </si>
  <si>
    <t xml:space="preserve">RV-012-00085</t>
  </si>
  <si>
    <t xml:space="preserve">I011139</t>
  </si>
  <si>
    <t xml:space="preserve">REDUTOR PLANETARIO AP NEO- AE120-070-BSH-1001P-D22N4</t>
  </si>
  <si>
    <t xml:space="preserve">RV-012-00086</t>
  </si>
  <si>
    <t xml:space="preserve">I011299</t>
  </si>
  <si>
    <t xml:space="preserve">REDUTOR PLANETARIO AP NEO- AE120-070-CMP63S-3000</t>
  </si>
  <si>
    <t xml:space="preserve">RV-012-00087</t>
  </si>
  <si>
    <t xml:space="preserve">I011343</t>
  </si>
  <si>
    <t xml:space="preserve">REDUTOR PLANETARIO AP NEO- AF140-009-S1-P1-HG-RR503-GE</t>
  </si>
  <si>
    <t xml:space="preserve">RV-012-00089</t>
  </si>
  <si>
    <t xml:space="preserve">I011536</t>
  </si>
  <si>
    <t xml:space="preserve">REDUTOR PLANETARIO APEX AT170-FL1-025-S2-SGMGV-20A</t>
  </si>
  <si>
    <t xml:space="preserve">RV-012-00090</t>
  </si>
  <si>
    <t xml:space="preserve">I011652</t>
  </si>
  <si>
    <t xml:space="preserve">REDUTOR PLANETARIO AP NEO- AT210FL-025-S2-SGMGV-20A</t>
  </si>
  <si>
    <t xml:space="preserve">RV-012-00091</t>
  </si>
  <si>
    <t xml:space="preserve">I011732</t>
  </si>
  <si>
    <t xml:space="preserve">REDUTOR PLANETARIO APEX ATB280H-001-S2</t>
  </si>
  <si>
    <t xml:space="preserve">RV-012-00092</t>
  </si>
  <si>
    <t xml:space="preserve">I011733</t>
  </si>
  <si>
    <t xml:space="preserve">REDUTOR PLANETARIO AP NEO- AE090M1-003-HG-SR102-GE</t>
  </si>
  <si>
    <t xml:space="preserve">RV-012-00093</t>
  </si>
  <si>
    <t xml:space="preserve">I011740</t>
  </si>
  <si>
    <t xml:space="preserve">REDUTOR PLANETARIO AP NEO- AE090M1-006-HG-SR102-GE</t>
  </si>
  <si>
    <t xml:space="preserve">RV-012-00094</t>
  </si>
  <si>
    <t xml:space="preserve">I011773</t>
  </si>
  <si>
    <t xml:space="preserve">REDUTOR PLANETARIO APEX AF180-100-S2-P0-CFM90S-3000</t>
  </si>
  <si>
    <t xml:space="preserve">RV-012-00097</t>
  </si>
  <si>
    <t xml:space="preserve">I012081</t>
  </si>
  <si>
    <t xml:space="preserve">REDUTOR PLANETARIO APEX AD200-031-P2-1FT7108-5AC70</t>
  </si>
  <si>
    <t xml:space="preserve">RV-012-00098</t>
  </si>
  <si>
    <t xml:space="preserve">I012139</t>
  </si>
  <si>
    <t xml:space="preserve">REDUTOR PLANETARIO AP NEO- ATB110FH-015-NEMA34</t>
  </si>
  <si>
    <t xml:space="preserve">RV-012-00101</t>
  </si>
  <si>
    <t xml:space="preserve">I012456</t>
  </si>
  <si>
    <t xml:space="preserve">REDUTOR PLANETARIO AP NEO- AE155-020-8LSA73-ee030ff00-0</t>
  </si>
  <si>
    <t xml:space="preserve">RV-012-00102</t>
  </si>
  <si>
    <t xml:space="preserve">I012472</t>
  </si>
  <si>
    <t xml:space="preserve">REDUTOR PLANETARIO AP NEO- AER050-005-R88M-K10030(H/T)</t>
  </si>
  <si>
    <t xml:space="preserve">RV-012-00105</t>
  </si>
  <si>
    <t xml:space="preserve">I012543</t>
  </si>
  <si>
    <t xml:space="preserve">REDUTOR PLANETARIO APEX AE205-100-SWA-71-13-30</t>
  </si>
  <si>
    <t xml:space="preserve">RV-012-00106</t>
  </si>
  <si>
    <t xml:space="preserve">I012658</t>
  </si>
  <si>
    <t xml:space="preserve">REDUTOR PLANETARIO AP NEO- AE205-010-CFM112M-3000</t>
  </si>
  <si>
    <t xml:space="preserve">RV-012-00107</t>
  </si>
  <si>
    <t xml:space="preserve">I012659</t>
  </si>
  <si>
    <t xml:space="preserve">REDUTOR PLANETARIO APEX AF220-100-S2-P0-CFM112S-3000</t>
  </si>
  <si>
    <t xml:space="preserve">RV-012-00108</t>
  </si>
  <si>
    <t xml:space="preserve">I012660</t>
  </si>
  <si>
    <t xml:space="preserve">REDUTOR PLANETARIO APEX AE120-070-CMP63S-4500</t>
  </si>
  <si>
    <t xml:space="preserve">RV-012-00112</t>
  </si>
  <si>
    <t xml:space="preserve">I012883</t>
  </si>
  <si>
    <t xml:space="preserve">REDUTOR PLANETARIO AP NEO- AE090M1-010-HF-SP52-GE</t>
  </si>
  <si>
    <t xml:space="preserve">RV-012-00113</t>
  </si>
  <si>
    <t xml:space="preserve">I012936</t>
  </si>
  <si>
    <t xml:space="preserve">REDUTOR PLANETARIO AP NEO- AE155-003-HG-SR702-GE</t>
  </si>
  <si>
    <t xml:space="preserve">RV-012-00114</t>
  </si>
  <si>
    <t xml:space="preserve">I012937</t>
  </si>
  <si>
    <t xml:space="preserve">REDUTOR PLANETARIO AP NEO- AE155-003-HG-SR502-GE</t>
  </si>
  <si>
    <t xml:space="preserve">RV-012-00115</t>
  </si>
  <si>
    <t xml:space="preserve">I012959</t>
  </si>
  <si>
    <t xml:space="preserve">REDUTOR PLANETARIO AP NEO- AF100-004-S1-P1-HG-RR503-GE</t>
  </si>
  <si>
    <t xml:space="preserve">RV-012-00118</t>
  </si>
  <si>
    <t xml:space="preserve">I013133</t>
  </si>
  <si>
    <t xml:space="preserve">REDUTOR PLANETARIO AP NEO- AB060AM1-020-S2-P2-MPL-B330P</t>
  </si>
  <si>
    <t xml:space="preserve">RV-012-00119</t>
  </si>
  <si>
    <t xml:space="preserve">I013143</t>
  </si>
  <si>
    <t xml:space="preserve">REDUTOR PLANETARIO AP NEO- AB060M1-005-S2-P2-MPL-B330P</t>
  </si>
  <si>
    <t xml:space="preserve">RV-012-00126</t>
  </si>
  <si>
    <t xml:space="preserve">I013670</t>
  </si>
  <si>
    <t xml:space="preserve">REDUTOR PLANETARIO AP NEO- AE205-015-SWA-71-34-30(C3=32)</t>
  </si>
  <si>
    <t xml:space="preserve">RV-012-00128</t>
  </si>
  <si>
    <t xml:space="preserve">I013876</t>
  </si>
  <si>
    <t xml:space="preserve">REDUTOR PLANETARIO AP NEO- ATB110FC-010-MPL-B430P</t>
  </si>
  <si>
    <t xml:space="preserve">RV-012-00130</t>
  </si>
  <si>
    <t xml:space="preserve">I014046</t>
  </si>
  <si>
    <t xml:space="preserve">REDUTOR PLANETARIO AP NEO- AD140-005-P2-8LSA73-ee030f0-GA</t>
  </si>
  <si>
    <t xml:space="preserve">RV-012-00131</t>
  </si>
  <si>
    <t xml:space="preserve">I014136</t>
  </si>
  <si>
    <t xml:space="preserve">REDUTOR PLANETARIO AP NEO- AE205-050-SWA-71-15-30</t>
  </si>
  <si>
    <t xml:space="preserve">RV-012-00132</t>
  </si>
  <si>
    <t xml:space="preserve">I014182</t>
  </si>
  <si>
    <t xml:space="preserve">REDUTOR PLANETARIO AP NEO- AF100-008-S1-P1-HC-RP503-GE</t>
  </si>
  <si>
    <t xml:space="preserve">RV-012-00133</t>
  </si>
  <si>
    <t xml:space="preserve">I014245</t>
  </si>
  <si>
    <t xml:space="preserve">REDUTOR PLANETARIO AP NEO- AF075M1-010-S1-P1-HC-RP153-GE</t>
  </si>
  <si>
    <t xml:space="preserve">RV-012-00136</t>
  </si>
  <si>
    <t xml:space="preserve">I014576</t>
  </si>
  <si>
    <t xml:space="preserve">REDUTOR PLANETARIO APEX AF100-009-S1-P1-HG-RR503-GE</t>
  </si>
  <si>
    <t xml:space="preserve">RV-012-00137</t>
  </si>
  <si>
    <t xml:space="preserve">I014673</t>
  </si>
  <si>
    <t xml:space="preserve">REDUTOR PLANETARIO AP NEO- AF100A-016-S2-P2-MPL-B520K</t>
  </si>
  <si>
    <t xml:space="preserve">RV-012-00139</t>
  </si>
  <si>
    <t xml:space="preserve">I014927</t>
  </si>
  <si>
    <t xml:space="preserve">REDUTOR PLANETARIO AP NEO- AF075M1-016-S1-P1-MPL-B330P</t>
  </si>
  <si>
    <t xml:space="preserve">RV-012-00140</t>
  </si>
  <si>
    <t xml:space="preserve">I014930</t>
  </si>
  <si>
    <t xml:space="preserve">REDUTOR PLANETARIO AP NEO- AF100M1-020-S1-P1-MPL-B4530K</t>
  </si>
  <si>
    <t xml:space="preserve">RV-012-00141</t>
  </si>
  <si>
    <t xml:space="preserve">I014933</t>
  </si>
  <si>
    <t xml:space="preserve">REDUTOR PLANETARIO AP NEO- AF075M1-040-S1-P1-MPL-B330P</t>
  </si>
  <si>
    <t xml:space="preserve">RV-012-00142</t>
  </si>
  <si>
    <t xml:space="preserve">I014934</t>
  </si>
  <si>
    <t xml:space="preserve">REDUTOR PLANETARIO AP NEO- AF075-007-S1-P1-MPL-B330P</t>
  </si>
  <si>
    <t xml:space="preserve">RV-012-00143</t>
  </si>
  <si>
    <t xml:space="preserve">I014936</t>
  </si>
  <si>
    <t xml:space="preserve">REDUTOR PLANETARIO AP NEO- AF100-010-S1-P1-MPL-B4530K</t>
  </si>
  <si>
    <t xml:space="preserve">RV-012-00144</t>
  </si>
  <si>
    <t xml:space="preserve">I014938</t>
  </si>
  <si>
    <t xml:space="preserve">REDUTOR PLANETARIO AP NEO- AF100-005-S1-P1-MPL-B4530K</t>
  </si>
  <si>
    <t xml:space="preserve">RV-012-00145</t>
  </si>
  <si>
    <t xml:space="preserve">I014940</t>
  </si>
  <si>
    <t xml:space="preserve">REDUTOR PLANETARIO AP NEO- AF100M1-015-S1-P1-MPL-B4530K</t>
  </si>
  <si>
    <t xml:space="preserve">RV-012-00146</t>
  </si>
  <si>
    <t xml:space="preserve">I014941</t>
  </si>
  <si>
    <t xml:space="preserve">REDUTOR PLANETARIO AP NEO- AF075M1-020-S1-P1-MPL-B330P</t>
  </si>
  <si>
    <t xml:space="preserve">RV-012-00149</t>
  </si>
  <si>
    <t xml:space="preserve">I015297</t>
  </si>
  <si>
    <t xml:space="preserve">REDUTOR PLANETARIO APEX AER090-010-MPL-B320P-V2</t>
  </si>
  <si>
    <t xml:space="preserve">RV-012-00155</t>
  </si>
  <si>
    <t xml:space="preserve">I015748</t>
  </si>
  <si>
    <t xml:space="preserve">REDUTOR PLANETARIO AP NEO- AE155-003-HF-SP202-GE</t>
  </si>
  <si>
    <t xml:space="preserve">RV-012-00156</t>
  </si>
  <si>
    <t xml:space="preserve">I015814</t>
  </si>
  <si>
    <t xml:space="preserve">REDUTOR PLANETARIO APEX ABR060-020-S2-P2-R88M-1M40030T</t>
  </si>
  <si>
    <t xml:space="preserve">RV-012-00159</t>
  </si>
  <si>
    <t xml:space="preserve">I015897</t>
  </si>
  <si>
    <t xml:space="preserve">REDUTOR PLANETARIO APEX AD110-050-P0-SGMAV-08A</t>
  </si>
  <si>
    <t xml:space="preserve">RV-012-00160</t>
  </si>
  <si>
    <t xml:space="preserve">I015942</t>
  </si>
  <si>
    <t xml:space="preserve">REDUTOR PLANETARIO AP NEO- AE205-008-BMH1902P</t>
  </si>
  <si>
    <t xml:space="preserve">RV-012-00161</t>
  </si>
  <si>
    <t xml:space="preserve">I015943</t>
  </si>
  <si>
    <t xml:space="preserve">REDUTOR PLANETARIO AP NEO- AF220-100-S2-P0-BMH1902P</t>
  </si>
  <si>
    <t xml:space="preserve">RV-012-00162</t>
  </si>
  <si>
    <t xml:space="preserve">I015944</t>
  </si>
  <si>
    <t xml:space="preserve">REDUTOR PLANETARIO AP NEO- AF180-100-S2-P0-BMH1401P</t>
  </si>
  <si>
    <t xml:space="preserve">RV-012-00163</t>
  </si>
  <si>
    <t xml:space="preserve">I015945</t>
  </si>
  <si>
    <t xml:space="preserve">REDUTOR PLANETARIO AP NEO- AE120-070-BMH1001P</t>
  </si>
  <si>
    <t xml:space="preserve">RV-012-00168</t>
  </si>
  <si>
    <t xml:space="preserve">I015992</t>
  </si>
  <si>
    <t xml:space="preserve">REDUTOR PLANETARIO APEX AD110-050-P0-ECMA-Cx0604xS</t>
  </si>
  <si>
    <t xml:space="preserve">RV-012-00195</t>
  </si>
  <si>
    <t xml:space="preserve">I016312</t>
  </si>
  <si>
    <t xml:space="preserve">REDUTOR PLANETARIO APEX AF075-003-S2-P1-MSK050C-0600-N</t>
  </si>
  <si>
    <t xml:space="preserve">RV-012-00198</t>
  </si>
  <si>
    <t xml:space="preserve">I016440</t>
  </si>
  <si>
    <t xml:space="preserve">REDUTOR PLANETARIO APEX AF140-005-S1-P2-MKD112D-027-10</t>
  </si>
  <si>
    <t xml:space="preserve">RV-012-00199</t>
  </si>
  <si>
    <t xml:space="preserve">I016484</t>
  </si>
  <si>
    <t xml:space="preserve">REDUTOR PLANETARIO APEX AF100-003-S2-P1-SGM7G-09A-S=24</t>
  </si>
  <si>
    <t xml:space="preserve">RV-012-00201</t>
  </si>
  <si>
    <t xml:space="preserve">I016593</t>
  </si>
  <si>
    <t xml:space="preserve">REDUTOR PLANETARIO APEX AF220-010-S2-P2-SGM7G-1AA</t>
  </si>
  <si>
    <t xml:space="preserve">RV-012-00202</t>
  </si>
  <si>
    <t xml:space="preserve">I016599</t>
  </si>
  <si>
    <t xml:space="preserve">REDUTOR PLANETARIO APEX AE205-008-CFM112M-3000</t>
  </si>
  <si>
    <t xml:space="preserve">RV-012-00203</t>
  </si>
  <si>
    <t xml:space="preserve">I016619</t>
  </si>
  <si>
    <t xml:space="preserve">REDUTOR PLANETARIO APEX AF075-003-S2-P2-MSK050C-0300-N</t>
  </si>
  <si>
    <t xml:space="preserve">RV-012-00206</t>
  </si>
  <si>
    <t xml:space="preserve">I016642</t>
  </si>
  <si>
    <t xml:space="preserve">REDUTOR PLANETARIO APEX AF140-005-S1-P1-MPM-B1653F</t>
  </si>
  <si>
    <t xml:space="preserve">RV-012-00213</t>
  </si>
  <si>
    <t xml:space="preserve">I016738</t>
  </si>
  <si>
    <t xml:space="preserve">REDUTOR PLANETARIO APEX AE155-004-MPM-B2153F-GE</t>
  </si>
  <si>
    <t xml:space="preserve">RV-012-00221</t>
  </si>
  <si>
    <t xml:space="preserve">I016880</t>
  </si>
  <si>
    <t xml:space="preserve">REDUTOR PLANETARIO APEX AD140-020-P2-1FK7063-2AF71</t>
  </si>
  <si>
    <t xml:space="preserve">RV-012-00225</t>
  </si>
  <si>
    <t xml:space="preserve">I016941</t>
  </si>
  <si>
    <t xml:space="preserve">REDUTOR PLANETARIO APEX AF075M1-003-S2-P1-MSK060C-0300</t>
  </si>
  <si>
    <t xml:space="preserve">RV-012-00226</t>
  </si>
  <si>
    <t xml:space="preserve">I016947</t>
  </si>
  <si>
    <t xml:space="preserve">REDUTOR PLANETARIO APEX AF100-003-S2-P0-SGM7G-09A-S=24</t>
  </si>
  <si>
    <t xml:space="preserve">RV-012-00227</t>
  </si>
  <si>
    <t xml:space="preserve">I016948</t>
  </si>
  <si>
    <t xml:space="preserve">REDUTOR PLANETARIO APEX AF042-030-S2-P1-SGM7P-01AxA2x</t>
  </si>
  <si>
    <t xml:space="preserve">RV-012-00228</t>
  </si>
  <si>
    <t xml:space="preserve">I016949</t>
  </si>
  <si>
    <t xml:space="preserve">REDUTOR PLANETARIO APEX AF220-030-S2-P1-SGM7G-44A</t>
  </si>
  <si>
    <t xml:space="preserve">RV-012-00229</t>
  </si>
  <si>
    <t xml:space="preserve">I016951</t>
  </si>
  <si>
    <t xml:space="preserve">REDUTOR PLANETARIO APEX AB142-010-S2-P2-SGMGV-44A</t>
  </si>
  <si>
    <t xml:space="preserve">RV-012-00288</t>
  </si>
  <si>
    <t xml:space="preserve">I007811</t>
  </si>
  <si>
    <t xml:space="preserve">REDUTOR PLANETÁRIO AP NEO- AD064-010-P2-BMH0702P-PCD82</t>
  </si>
  <si>
    <t xml:space="preserve">RV-012-00290</t>
  </si>
  <si>
    <t xml:space="preserve">I015264</t>
  </si>
  <si>
    <t xml:space="preserve">REDUTOR PLANETÁRIO AP NEO- AE090M1-005-ECMA-C11020</t>
  </si>
  <si>
    <t xml:space="preserve">RV-012-00291</t>
  </si>
  <si>
    <t xml:space="preserve">I012726</t>
  </si>
  <si>
    <t xml:space="preserve">REDUTOR PLANETÁRIO AP NEO- AF060-010-S1-P2-1FK7032-2AK71</t>
  </si>
  <si>
    <t xml:space="preserve">RV-012-00292</t>
  </si>
  <si>
    <t xml:space="preserve">I007090</t>
  </si>
  <si>
    <t xml:space="preserve">REDUTOR PLANETÁRIO AP NEO- AF075-005-S2-P0-iF4/4000-HVB</t>
  </si>
  <si>
    <t xml:space="preserve">RV-012-00293</t>
  </si>
  <si>
    <t xml:space="preserve">I007091</t>
  </si>
  <si>
    <t xml:space="preserve">REDUTOR PLANETÁRIO AP NEO- AF075-005-S2-P0-iF8/3000-HVB</t>
  </si>
  <si>
    <t xml:space="preserve">RV-012-00294</t>
  </si>
  <si>
    <t xml:space="preserve">I010076</t>
  </si>
  <si>
    <t xml:space="preserve">REDUTOR PLANETÁRIO AP NEO- AFH100-010-S2-MSK060C-0600-NN</t>
  </si>
  <si>
    <t xml:space="preserve">RV-012-00295</t>
  </si>
  <si>
    <t xml:space="preserve">I009941</t>
  </si>
  <si>
    <t xml:space="preserve">REDUTOR PLANETÁRIO AP NEO- AFHK100-012-S2-MPM-B1152T</t>
  </si>
  <si>
    <t xml:space="preserve">RV-012-00296</t>
  </si>
  <si>
    <t xml:space="preserve">I005946</t>
  </si>
  <si>
    <t xml:space="preserve">REDUTOR PLANETÁRIO AP NEO- AFR100-003-S2-P2-MPL-B540K-V2</t>
  </si>
  <si>
    <t xml:space="preserve">RV-012-00297</t>
  </si>
  <si>
    <t xml:space="preserve">I008805</t>
  </si>
  <si>
    <t xml:space="preserve">REDUTOR PLANETÁRIO AP NEO- AT110FH(Lf)-001-VPL-B1152-GE</t>
  </si>
  <si>
    <t xml:space="preserve">RV-012-00301</t>
  </si>
  <si>
    <t xml:space="preserve">I011535</t>
  </si>
  <si>
    <t xml:space="preserve">REDUTOR PLANETÁRIO AP NEO- ATB090FL-003-S2-ES-M23480</t>
  </si>
  <si>
    <t xml:space="preserve">RV-012-00302</t>
  </si>
  <si>
    <t xml:space="preserve">I007298</t>
  </si>
  <si>
    <t xml:space="preserve">REDUTOR PLANETÁRIO AP NEO- ATB090FL-010-S2-MSMD042P1</t>
  </si>
  <si>
    <t xml:space="preserve">RV-012-00303</t>
  </si>
  <si>
    <t xml:space="preserve">I010698</t>
  </si>
  <si>
    <t xml:space="preserve">REDUTOR PLANETÁRIO AP NEO- ATB110FH-020-MSMD082P1</t>
  </si>
  <si>
    <t xml:space="preserve">RV-012-00311</t>
  </si>
  <si>
    <t xml:space="preserve">I007193</t>
  </si>
  <si>
    <t xml:space="preserve">REDUTOR PLANETÁRIO AP NEO-AD064-007-P1-AKM32E-AC-320</t>
  </si>
  <si>
    <t xml:space="preserve">RV-012-00312</t>
  </si>
  <si>
    <t xml:space="preserve">I006070</t>
  </si>
  <si>
    <t xml:space="preserve">REDUTOR PLANETÁRIO AP NEO-AF060-010-S2-P2-NEMA34</t>
  </si>
  <si>
    <t xml:space="preserve">RV-012-00313</t>
  </si>
  <si>
    <t xml:space="preserve">I010857</t>
  </si>
  <si>
    <t xml:space="preserve">REDUTOR PLANETÁRIO AP NEO-AF100-005-S2-P2-MPL-A42-V2</t>
  </si>
  <si>
    <t xml:space="preserve">RV-012-00314</t>
  </si>
  <si>
    <t xml:space="preserve">I009073</t>
  </si>
  <si>
    <t xml:space="preserve">REDUTOR PLANETÁRIO AP NEO-AP255-088-G-5-V6</t>
  </si>
  <si>
    <t xml:space="preserve">RV-012-00315</t>
  </si>
  <si>
    <t xml:space="preserve">I002646</t>
  </si>
  <si>
    <t xml:space="preserve">REDUTOR PLANETÁRIO AP NEO-AT090-FL-010-S2</t>
  </si>
  <si>
    <t xml:space="preserve">RV-012-00316</t>
  </si>
  <si>
    <t xml:space="preserve">I005755</t>
  </si>
  <si>
    <t xml:space="preserve">REDUTOR PLANETÁRIO AP NEO-AT110FH-002-MPL-B430P</t>
  </si>
  <si>
    <t xml:space="preserve">RV-012-00317</t>
  </si>
  <si>
    <t xml:space="preserve">I002653</t>
  </si>
  <si>
    <t xml:space="preserve">REDUTOR PLANETÁRIO AP NEO-AT170-FH-200</t>
  </si>
  <si>
    <t xml:space="preserve">RV-012-00318</t>
  </si>
  <si>
    <t xml:space="preserve">I009716</t>
  </si>
  <si>
    <t xml:space="preserve">REDUTOR PLANETÁRIO AP NEO-ATB110FH-002-MPL-B4560F-ID</t>
  </si>
  <si>
    <t xml:space="preserve">RV-012-00361</t>
  </si>
  <si>
    <t xml:space="preserve">I010858</t>
  </si>
  <si>
    <t xml:space="preserve">REDUTOR PLANETÁRIO APEX AD110-007-P2-1FK7081-2A-V2</t>
  </si>
  <si>
    <t xml:space="preserve">RV-012-00371</t>
  </si>
  <si>
    <t xml:space="preserve">I002702</t>
  </si>
  <si>
    <t xml:space="preserve">REDUTOR PLANETÁRIO APEX AF075-003-S2-P2-MSK050C-0600-NN</t>
  </si>
  <si>
    <t xml:space="preserve">RV-012-00372</t>
  </si>
  <si>
    <t xml:space="preserve">I005308</t>
  </si>
  <si>
    <t xml:space="preserve">REDUTOR PLANETARIO APEX ABR115-025-S2-P2-VPL-B1153F</t>
  </si>
  <si>
    <t xml:space="preserve">RV-012-00381</t>
  </si>
  <si>
    <t xml:space="preserve">I010860</t>
  </si>
  <si>
    <t xml:space="preserve">REDUTOR PLANETÁRIO APEX ATB090FH-010-MPL-A320P</t>
  </si>
  <si>
    <t xml:space="preserve">RV-012-00384</t>
  </si>
  <si>
    <t xml:space="preserve">I012958</t>
  </si>
  <si>
    <t xml:space="preserve">REDUTOR PLANETÁRIO AP NEO- AFR140-007-S2-P2-AiF40/3000-SS</t>
  </si>
  <si>
    <t xml:space="preserve">RV-012-00388</t>
  </si>
  <si>
    <t xml:space="preserve">I016290</t>
  </si>
  <si>
    <t xml:space="preserve">REDUTOR PLANETÁRIO APEX AE070-003-P0403202208(C3=8)</t>
  </si>
  <si>
    <t xml:space="preserve">RV-012-00413</t>
  </si>
  <si>
    <t xml:space="preserve">I012983</t>
  </si>
  <si>
    <t xml:space="preserve">REDUTOR PLANETÁRIO AP NEO- AE155-005-1PH7107-2NFX2</t>
  </si>
  <si>
    <t xml:space="preserve">RV-012-00422</t>
  </si>
  <si>
    <t xml:space="preserve">I009851</t>
  </si>
  <si>
    <t xml:space="preserve">REDUTOR PLANETÁRIO APEX AB220-100-S2-P2-1FK7101-5AF71</t>
  </si>
  <si>
    <t xml:space="preserve">RV-012-00425</t>
  </si>
  <si>
    <t xml:space="preserve">I006926</t>
  </si>
  <si>
    <t xml:space="preserve">REDUTOR PLANETÁRIO APEX AF140-005-S1-P2-MHD112D-027</t>
  </si>
  <si>
    <t xml:space="preserve">Código SAP</t>
  </si>
  <si>
    <t xml:space="preserve">RV-002-00017</t>
  </si>
  <si>
    <t xml:space="preserve">I010481</t>
  </si>
  <si>
    <t xml:space="preserve">RIBBON ENTRUST YMCKT I500 R / SD26 SD36 SD46 / 534700-004-R002</t>
  </si>
  <si>
    <t xml:space="preserve">ENTRUST</t>
  </si>
  <si>
    <t xml:space="preserve">84439949</t>
  </si>
  <si>
    <t xml:space="preserve">8443.99.49</t>
  </si>
  <si>
    <t xml:space="preserve">002</t>
  </si>
  <si>
    <t xml:space="preserve">RV-002-00018</t>
  </si>
  <si>
    <t xml:space="preserve">I010489</t>
  </si>
  <si>
    <t xml:space="preserve">RIBBON ENTRUST YMCKT-KT SD36/46 I350 R 534700-005-R002</t>
  </si>
  <si>
    <t xml:space="preserve">RV-002-00021</t>
  </si>
  <si>
    <t xml:space="preserve">I012559</t>
  </si>
  <si>
    <t xml:space="preserve">IMPRESSORA ENTRUST SIGMA DS2 DUPLEX 525301-005</t>
  </si>
  <si>
    <t xml:space="preserve">84433299</t>
  </si>
  <si>
    <t xml:space="preserve">8443.32.99</t>
  </si>
  <si>
    <t xml:space="preserve">009</t>
  </si>
  <si>
    <t xml:space="preserve">RV-002-00024</t>
  </si>
  <si>
    <t xml:space="preserve">I013774</t>
  </si>
  <si>
    <t xml:space="preserve">RIBBON IDP YMCKT I250 / 210 310S 310D / LITE / 659603</t>
  </si>
  <si>
    <t xml:space="preserve">RV-002-00028</t>
  </si>
  <si>
    <t xml:space="preserve">I014554</t>
  </si>
  <si>
    <t xml:space="preserve">RIBBON ENTRUST YMCKT I500 / SIGMA / 525100-004</t>
  </si>
  <si>
    <t xml:space="preserve">RV-002-00030</t>
  </si>
  <si>
    <t xml:space="preserve">I016006</t>
  </si>
  <si>
    <t xml:space="preserve">RIBBON ENTRUST YMCKT-KT SIGMA I350 525100-005</t>
  </si>
  <si>
    <t xml:space="preserve">RV-002-00031</t>
  </si>
  <si>
    <t xml:space="preserve">I016728</t>
  </si>
  <si>
    <t xml:space="preserve">RIBBON ENTRUST K EX I1500 / SD16 SD26 SD36 SD46 / 532000-053-N</t>
  </si>
  <si>
    <t xml:space="preserve">84439941</t>
  </si>
  <si>
    <t xml:space="preserve">RV-002-00032</t>
  </si>
  <si>
    <t xml:space="preserve">I016733</t>
  </si>
  <si>
    <t xml:space="preserve">RIBBON ENTRUST W SIGMA DS2/DS3 EX I1500 525900-004</t>
  </si>
  <si>
    <t xml:space="preserve">RV-002-00033</t>
  </si>
  <si>
    <t xml:space="preserve">I016735</t>
  </si>
  <si>
    <t xml:space="preserve">RIBBON ENTRUST K EX I1500 / SIGMA / 525900-002</t>
  </si>
  <si>
    <t xml:space="preserve">RV-002-00060</t>
  </si>
  <si>
    <t xml:space="preserve">I015834</t>
  </si>
  <si>
    <t xml:space="preserve">IMP CARTÃO N15 SINGLE N15-0001-00</t>
  </si>
  <si>
    <t xml:space="preserve">RV-002-00061</t>
  </si>
  <si>
    <t xml:space="preserve">I015835</t>
  </si>
  <si>
    <t xml:space="preserve">IMP CARTÃO N25 DUAL N25-0001-00</t>
  </si>
  <si>
    <t xml:space="preserve">RV-002-00062</t>
  </si>
  <si>
    <t xml:space="preserve">I007358</t>
  </si>
  <si>
    <t xml:space="preserve">IMP CARTÃO SD260 535500-002</t>
  </si>
  <si>
    <t xml:space="preserve">RV-002-00063</t>
  </si>
  <si>
    <t xml:space="preserve">I007361</t>
  </si>
  <si>
    <t xml:space="preserve">IMP CARTÃO SD360 MSR 506339-002</t>
  </si>
  <si>
    <t xml:space="preserve">RV-002-00064</t>
  </si>
  <si>
    <t xml:space="preserve">I013742</t>
  </si>
  <si>
    <t xml:space="preserve">IMP CARTÃO SIGMA DS3 DUPLEX MSR-SC  525302-006</t>
  </si>
  <si>
    <t xml:space="preserve">RV-002-00065</t>
  </si>
  <si>
    <t xml:space="preserve">I013779</t>
  </si>
  <si>
    <t xml:space="preserve">IMP CARTÃO SOLID DUPLEX 510L</t>
  </si>
  <si>
    <t xml:space="preserve">RV-002-00070</t>
  </si>
  <si>
    <t xml:space="preserve">I012560</t>
  </si>
  <si>
    <t xml:space="preserve">IMPRESSORA ENTRUST SIGMA DS2 SIMPLEX 525301-001</t>
  </si>
  <si>
    <t xml:space="preserve">RV-002-00072</t>
  </si>
  <si>
    <t xml:space="preserve">I013770</t>
  </si>
  <si>
    <t xml:space="preserve">IMPRESSORA IDP DUPLEX 310D</t>
  </si>
  <si>
    <t xml:space="preserve">RV-002-00076</t>
  </si>
  <si>
    <t xml:space="preserve">I014699</t>
  </si>
  <si>
    <t xml:space="preserve">IMPRESSORA SD 260 BY SIGMA SIMPLEX 535500-013</t>
  </si>
  <si>
    <t xml:space="preserve">RV-002-00138</t>
  </si>
  <si>
    <t xml:space="preserve">I016737</t>
  </si>
  <si>
    <t xml:space="preserve">RIBBON ENTRUST G SD26/36/46 EX I1500 532000-007-N</t>
  </si>
  <si>
    <t xml:space="preserve">RV-002-00141</t>
  </si>
  <si>
    <t xml:space="preserve">I016729</t>
  </si>
  <si>
    <t xml:space="preserve">RIBBON ENTRUST S SD16/26/36/46 EX I1500 532000-006 - N</t>
  </si>
  <si>
    <t xml:space="preserve">RV-002-00143</t>
  </si>
  <si>
    <t xml:space="preserve">I010434</t>
  </si>
  <si>
    <t xml:space="preserve">RIBBON ENTRUST YMCKT-KT SD36/46 I300 534000-006</t>
  </si>
  <si>
    <t xml:space="preserve">RV-002-00145</t>
  </si>
  <si>
    <t xml:space="preserve">I016734</t>
  </si>
  <si>
    <t xml:space="preserve">RIBBON MONO SOLID W 210/310S/310D EX I1200 PRIME</t>
  </si>
  <si>
    <t xml:space="preserve">RV-002-00172</t>
  </si>
  <si>
    <t xml:space="preserve">I016732</t>
  </si>
  <si>
    <t xml:space="preserve">RIBBON ENTRUST W SD16/26/36/46 EX I1500 532000-004</t>
  </si>
  <si>
    <t xml:space="preserve">RV-004-00141</t>
  </si>
  <si>
    <t xml:space="preserve">I100189</t>
  </si>
  <si>
    <t xml:space="preserve">LEITORES DE CÓDIGO DE BARRAS EMBARCADO 1D/2D DSCAN-SLIM-70-EMB-DUAL-</t>
  </si>
  <si>
    <t xml:space="preserve">84719012</t>
  </si>
  <si>
    <t xml:space="preserve">RV-012-00369</t>
  </si>
  <si>
    <t xml:space="preserve">I017964</t>
  </si>
  <si>
    <t xml:space="preserve">REDUTOR PLANETÁRIO KOFON KPE090-1-139-10</t>
  </si>
  <si>
    <t xml:space="preserve">KOFON</t>
  </si>
  <si>
    <t xml:space="preserve">RV-012-00513</t>
  </si>
  <si>
    <t xml:space="preserve">REDUTOR PLANETARIO KOFON KPLF070-1-117-4</t>
  </si>
  <si>
    <t xml:space="preserve">RV-012-00560</t>
  </si>
  <si>
    <t xml:space="preserve">REDUTOR PLANETARIO KOFON KPE090-2-134-30</t>
  </si>
  <si>
    <t xml:space="preserve">RV-012-00561</t>
  </si>
  <si>
    <t xml:space="preserve">REDUTOR PLANETARIO KOFON KPH090-2-100-P1-BMH0701P-PCD75-C3=11MM</t>
  </si>
  <si>
    <t xml:space="preserve">RV-012-00562</t>
  </si>
  <si>
    <t xml:space="preserve">REDUTOR PLANETARIO KOFON KPH120-3-100-P1-BMH0702P-PCD75-C3=11MM</t>
  </si>
  <si>
    <t xml:space="preserve">RV-012-00563</t>
  </si>
  <si>
    <t xml:space="preserve">REDUTOR PLANETARIO KOFON KPE070-2-103-20</t>
  </si>
  <si>
    <t xml:space="preserve">RV-012-00176</t>
  </si>
  <si>
    <t xml:space="preserve">I016159</t>
  </si>
  <si>
    <t xml:space="preserve">REDUTOR CICLOIDAL NABTESCO RDS-40E-153-G2-ZZ-ZZ</t>
  </si>
  <si>
    <t xml:space="preserve">NABTESCO</t>
  </si>
  <si>
    <t xml:space="preserve">472</t>
  </si>
  <si>
    <t xml:space="preserve">RV-012-00699</t>
  </si>
  <si>
    <t xml:space="preserve">ACESSORIO REDUTOR APEX BUSHING D19-S16</t>
  </si>
  <si>
    <t xml:space="preserve">84839000</t>
  </si>
  <si>
    <t xml:space="preserve">Código SAP (modelo)</t>
  </si>
  <si>
    <t xml:space="preserve">Código SAP no cadastro</t>
  </si>
  <si>
    <t xml:space="preserve">Falta EX? (modelo tem, cadastro e aba EX não)</t>
  </si>
  <si>
    <t xml:space="preserve">EX do modelo</t>
  </si>
  <si>
    <t xml:space="preserve">Falta Detalhes DI? (B1_ZDETDI vazio)</t>
  </si>
  <si>
    <t xml:space="preserve">Texto Detalhes DI proposto (do modelo)</t>
  </si>
  <si>
    <t xml:space="preserve">RV-002-00041</t>
  </si>
  <si>
    <t xml:space="preserve">I014305</t>
  </si>
  <si>
    <t xml:space="preserve">SIM</t>
  </si>
  <si>
    <t xml:space="preserve">PRODUTO COM PART NUMBER 558323-005 REFERENTE AO COMPONENTE DE IMPRESSORA DATACARD, LINHA SD.</t>
  </si>
  <si>
    <t xml:space="preserve">RV-002-00132</t>
  </si>
  <si>
    <t xml:space="preserve">I014304</t>
  </si>
  <si>
    <t xml:space="preserve">PRODUTO COM PART NUMBER 572771-001 REFERENTE AO COMPONENTE DE IMPRESSORA DATACARD, LINHA SD.</t>
  </si>
  <si>
    <t xml:space="preserve">RV-002-00154</t>
  </si>
  <si>
    <t xml:space="preserve">I016497</t>
  </si>
  <si>
    <t xml:space="preserve">PRODUTO COM PART NUMBER  512442-001 REFERENTE AO COMPONENTE DE IMPRESSORAS DATADARD, LINHA SD, ROLETE DE REGISTRO E TRANSPORTE DE CARTÕES DURANTE IMPRESSÃO E CONTROLE DE RIBBON. I008994</t>
  </si>
  <si>
    <t xml:space="preserve">RV-002-00166</t>
  </si>
  <si>
    <t xml:space="preserve">I100194</t>
  </si>
  <si>
    <t xml:space="preserve">IMPRESSORA DE CARTÕES PVC, OU REVESTIDOS EM PVC, POR MEIO DE TRANSFERÊNCIA TÉRMICA DIRETA (DYE SUBLIMATION), POR MEIO DE FITAS DE RESINA, COM MÓDULO DUPLEX, PERMITINDO IMPRESSÃO FRENTE E VERSO AUTOMÁTICO. COM POSSIBILIDADE DE INSTALAÇÃO DE MÓDULO DE LEITURA E GRAVAÇÃO DE “CHIP”, COM OU SEM CONTATO, PODENDO OPERAR COM EMBARALHAMENTO DOS DADOS IMPRESSOS POR MEIO DAS FITAS DE RESINA DOADORAS DE COR AO CARTÃO. POSSUI VELOCIDADE DE 185 CARTÕES POR HORA (CONSIDERANDO IMPRESSÃO EM UMA FACE)</t>
  </si>
  <si>
    <t xml:space="preserve">RV-002-00167</t>
  </si>
  <si>
    <t xml:space="preserve">I014539</t>
  </si>
  <si>
    <t xml:space="preserve">(vazio)</t>
  </si>
  <si>
    <t xml:space="preserve">Mecanismo de impressão com dispositivos mecânicos e eletrônicos, próprios para utilização em impressora de transferência térmica de resina sólida com sublimação de tinta (dye sublimation), contendo rolo plástico com engrenagens na superfície interna e um sensor de radiofrequência (RFID) para comunicação com a impressora, filme polimérico dotado de seções alternadas das cores amarelo, magenta, ciano, preto e painel transparente, rolete adesivado de limpeza e cartão de limpeza.</t>
  </si>
  <si>
    <t xml:space="preserve">RV-002-00168</t>
  </si>
  <si>
    <t xml:space="preserve">I014523</t>
  </si>
  <si>
    <t xml:space="preserve">Máquinas de termotransferência utilizadas para impressão de cartões plásticos
(PVC ou revestidos com PVC), utilizando transferência térmica "dye sublimation", com
módulo de leitura e/ou gravação de "chip" com ou sem contato, podendo operar com
embaralhamento dos dados impressos por meio das fitas tintadas doadoras de cor ao cartão,
com velocidade máxima igual ou superior a 150 cartões/h (impressão uma face). PN do Fabricante 525302-003</t>
  </si>
  <si>
    <t xml:space="preserve">RV-002-00171</t>
  </si>
  <si>
    <t xml:space="preserve">I016148</t>
  </si>
  <si>
    <t xml:space="preserve">Rolete preto de plástico comprido, envolvido de borracha preta com engrenagem em apenas uma das pontas.</t>
  </si>
</sst>
</file>

<file path=xl/styles.xml><?xml version="1.0" encoding="utf-8"?>
<styleSheet xmlns="http://schemas.openxmlformats.org/spreadsheetml/2006/main">
  <numFmts count="4">
    <numFmt numFmtId="164" formatCode="General"/>
    <numFmt numFmtId="165" formatCode="General"/>
    <numFmt numFmtId="166" formatCode="@"/>
    <numFmt numFmtId="167" formatCode="dd/mm/yyyy"/>
  </numFmts>
  <fonts count="11">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sz val="11"/>
      <name val="Arial"/>
      <family val="0"/>
      <charset val="1"/>
    </font>
    <font>
      <b val="true"/>
      <sz val="11"/>
      <name val="Arial"/>
      <family val="0"/>
      <charset val="1"/>
    </font>
    <font>
      <b val="true"/>
      <sz val="11"/>
      <color rgb="FFFFFFFF"/>
      <name val="Arial"/>
      <family val="0"/>
      <charset val="1"/>
    </font>
    <font>
      <sz val="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FF2CC"/>
          <bgColor rgb="FF000000"/>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 collapsed="false" customWidth="true" hidden="false" outlineLevel="0" max="2" min="2" style="0" width="12"/>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2"/>
    </row>
    <row r="5" customFormat="false" ht="15" hidden="false" customHeight="false" outlineLevel="0" collapsed="false">
      <c r="A5" s="3" t="s">
        <v>3</v>
      </c>
    </row>
    <row r="6" customFormat="false" ht="15" hidden="false" customHeight="false" outlineLevel="0" collapsed="false">
      <c r="A6" s="2" t="s">
        <v>4</v>
      </c>
    </row>
    <row r="7" customFormat="false" ht="15" hidden="false" customHeight="false" outlineLevel="0" collapsed="false">
      <c r="A7" s="2" t="s">
        <v>5</v>
      </c>
    </row>
    <row r="8" customFormat="false" ht="23.85" hidden="false" customHeight="false" outlineLevel="0" collapsed="false">
      <c r="A8" s="2" t="s">
        <v>6</v>
      </c>
    </row>
    <row r="9" customFormat="false" ht="15" hidden="false" customHeight="false" outlineLevel="0" collapsed="false">
      <c r="A9" s="2"/>
    </row>
    <row r="10" customFormat="false" ht="15" hidden="false" customHeight="false" outlineLevel="0" collapsed="false">
      <c r="A10" s="3" t="s">
        <v>7</v>
      </c>
    </row>
    <row r="11" customFormat="false" ht="23.85" hidden="false" customHeight="false" outlineLevel="0" collapsed="false">
      <c r="A11" s="2" t="s">
        <v>8</v>
      </c>
    </row>
    <row r="12" customFormat="false" ht="23.85" hidden="false" customHeight="false" outlineLevel="0" collapsed="false">
      <c r="A12" s="2" t="s">
        <v>9</v>
      </c>
    </row>
    <row r="13" customFormat="false" ht="23.8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row>
    <row r="16" customFormat="false" ht="15" hidden="false" customHeight="false" outlineLevel="0" collapsed="false">
      <c r="A16" s="3" t="s">
        <v>12</v>
      </c>
    </row>
    <row r="17" customFormat="false" ht="15" hidden="false" customHeight="false" outlineLevel="0" collapsed="false">
      <c r="A17" s="4" t="s">
        <v>13</v>
      </c>
      <c r="B17" s="5" t="n">
        <f aca="false">COUNTA(EX_para_validar!A2:A1000)</f>
        <v>146</v>
      </c>
    </row>
    <row r="18" customFormat="false" ht="15" hidden="false" customHeight="false" outlineLevel="0" collapsed="false">
      <c r="A18" s="4" t="s">
        <v>14</v>
      </c>
      <c r="B18" s="5" t="n">
        <f aca="false">COUNTIF(EX_para_validar!G2:G1000,"OK")</f>
        <v>137</v>
      </c>
    </row>
    <row r="19" customFormat="false" ht="15" hidden="false" customHeight="false" outlineLevel="0" collapsed="false">
      <c r="A19" s="4" t="s">
        <v>15</v>
      </c>
      <c r="B19" s="5" t="n">
        <f aca="false">COUNTIF(EX_para_validar!G2:G1000,"DIVERGE")</f>
        <v>9</v>
      </c>
    </row>
    <row r="20" customFormat="false" ht="15" hidden="false" customHeight="false" outlineLevel="0" collapsed="false">
      <c r="A20" s="4" t="s">
        <v>16</v>
      </c>
      <c r="B20" s="5" t="n">
        <f aca="false">COUNTIF(EX_para_validar!M2:M1000,"OK")</f>
        <v>0</v>
      </c>
    </row>
    <row r="21" customFormat="false" ht="15" hidden="false" customHeight="false" outlineLevel="0" collapsed="false">
      <c r="A21" s="4" t="s">
        <v>17</v>
      </c>
      <c r="B21" s="5" t="n">
        <f aca="false">COUNTIF(EX_para_validar!M2:M1000,"CORRIGIR")</f>
        <v>0</v>
      </c>
    </row>
    <row r="22" customFormat="false" ht="15" hidden="false" customHeight="false" outlineLevel="0" collapsed="false">
      <c r="A22" s="4" t="s">
        <v>18</v>
      </c>
      <c r="B22" s="5" t="n">
        <f aca="false">COUNTA(EX_para_validar!A2:A1000)-COUNTA(EX_para_validar!M2:M1000)</f>
        <v>146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48"/>
    <col collapsed="false" customWidth="true" hidden="false" outlineLevel="0" max="5" min="4" style="0" width="14"/>
    <col collapsed="false" customWidth="true" hidden="false" outlineLevel="0" max="6" min="6" style="0" width="12"/>
    <col collapsed="false" customWidth="true" hidden="false" outlineLevel="0" max="8" min="7" style="0" width="11"/>
    <col collapsed="false" customWidth="true" hidden="false" outlineLevel="0" max="9" min="9" style="0" width="13"/>
    <col collapsed="false" customWidth="true" hidden="false" outlineLevel="0" max="10" min="10" style="0" width="11"/>
    <col collapsed="false" customWidth="true" hidden="false" outlineLevel="0" max="11" min="11" style="0" width="18"/>
    <col collapsed="false" customWidth="true" hidden="false" outlineLevel="0" max="12" min="12" style="0" width="15"/>
    <col collapsed="false" customWidth="true" hidden="false" outlineLevel="0" max="13" min="13" style="0" width="13"/>
    <col collapsed="false" customWidth="true" hidden="false" outlineLevel="0" max="14" min="14" style="0" width="12"/>
    <col collapsed="false" customWidth="true" hidden="false" outlineLevel="0" max="15" min="15" style="0" width="30"/>
  </cols>
  <sheetData>
    <row r="1" customFormat="false" ht="31.5" hidden="false" customHeight="true" outlineLevel="0" collapsed="false">
      <c r="A1" s="6" t="s">
        <v>19</v>
      </c>
      <c r="B1" s="6" t="s">
        <v>20</v>
      </c>
      <c r="C1" s="6" t="s">
        <v>21</v>
      </c>
      <c r="D1" s="6" t="s">
        <v>22</v>
      </c>
      <c r="E1" s="6" t="s">
        <v>23</v>
      </c>
      <c r="F1" s="6" t="s">
        <v>24</v>
      </c>
      <c r="G1" s="6" t="s">
        <v>25</v>
      </c>
      <c r="H1" s="6" t="s">
        <v>26</v>
      </c>
      <c r="I1" s="6" t="s">
        <v>27</v>
      </c>
      <c r="J1" s="6" t="s">
        <v>28</v>
      </c>
      <c r="K1" s="6" t="s">
        <v>29</v>
      </c>
      <c r="L1" s="6" t="s">
        <v>30</v>
      </c>
      <c r="M1" s="6" t="s">
        <v>31</v>
      </c>
      <c r="N1" s="6" t="s">
        <v>32</v>
      </c>
      <c r="O1" s="6" t="s">
        <v>33</v>
      </c>
    </row>
    <row r="2" customFormat="false" ht="15" hidden="false" customHeight="false" outlineLevel="0" collapsed="false">
      <c r="A2" s="7" t="s">
        <v>34</v>
      </c>
      <c r="B2" s="7" t="s">
        <v>35</v>
      </c>
      <c r="C2" s="8" t="s">
        <v>36</v>
      </c>
      <c r="D2" s="8" t="s">
        <v>37</v>
      </c>
      <c r="E2" s="7" t="s">
        <v>38</v>
      </c>
      <c r="F2" s="7" t="s">
        <v>39</v>
      </c>
      <c r="G2" s="8" t="str">
        <f aca="false">IF(SUBSTITUTE(F2,".","")=TRIM(E2),"OK","DIVERGE")</f>
        <v>OK</v>
      </c>
      <c r="H2" s="7" t="s">
        <v>40</v>
      </c>
      <c r="I2" s="9" t="n">
        <v>46721</v>
      </c>
      <c r="J2" s="8" t="n">
        <v>12.6</v>
      </c>
      <c r="K2" s="8" t="s">
        <v>41</v>
      </c>
      <c r="L2" s="8" t="s">
        <v>19</v>
      </c>
      <c r="M2" s="10"/>
      <c r="N2" s="11"/>
      <c r="O2" s="10"/>
    </row>
    <row r="3" customFormat="false" ht="15" hidden="false" customHeight="false" outlineLevel="0" collapsed="false">
      <c r="A3" s="7" t="s">
        <v>42</v>
      </c>
      <c r="B3" s="7" t="s">
        <v>43</v>
      </c>
      <c r="C3" s="8" t="s">
        <v>44</v>
      </c>
      <c r="D3" s="8" t="s">
        <v>37</v>
      </c>
      <c r="E3" s="7" t="s">
        <v>38</v>
      </c>
      <c r="F3" s="7" t="s">
        <v>39</v>
      </c>
      <c r="G3" s="8" t="str">
        <f aca="false">IF(SUBSTITUTE(F3,".","")=TRIM(E3),"OK","DIVERGE")</f>
        <v>OK</v>
      </c>
      <c r="H3" s="7" t="s">
        <v>40</v>
      </c>
      <c r="I3" s="9" t="n">
        <v>46721</v>
      </c>
      <c r="J3" s="8" t="n">
        <v>12.6</v>
      </c>
      <c r="K3" s="8" t="s">
        <v>41</v>
      </c>
      <c r="L3" s="8" t="s">
        <v>19</v>
      </c>
      <c r="M3" s="10"/>
      <c r="N3" s="11"/>
      <c r="O3" s="10"/>
    </row>
    <row r="4" customFormat="false" ht="15" hidden="false" customHeight="false" outlineLevel="0" collapsed="false">
      <c r="A4" s="7" t="s">
        <v>45</v>
      </c>
      <c r="B4" s="7" t="s">
        <v>46</v>
      </c>
      <c r="C4" s="8" t="s">
        <v>47</v>
      </c>
      <c r="D4" s="8" t="s">
        <v>37</v>
      </c>
      <c r="E4" s="7" t="s">
        <v>38</v>
      </c>
      <c r="F4" s="7" t="s">
        <v>39</v>
      </c>
      <c r="G4" s="8" t="str">
        <f aca="false">IF(SUBSTITUTE(F4,".","")=TRIM(E4),"OK","DIVERGE")</f>
        <v>OK</v>
      </c>
      <c r="H4" s="7" t="s">
        <v>40</v>
      </c>
      <c r="I4" s="9" t="n">
        <v>46721</v>
      </c>
      <c r="J4" s="8" t="n">
        <v>12.6</v>
      </c>
      <c r="K4" s="8" t="s">
        <v>41</v>
      </c>
      <c r="L4" s="8" t="s">
        <v>19</v>
      </c>
      <c r="M4" s="10"/>
      <c r="N4" s="11"/>
      <c r="O4" s="10"/>
    </row>
    <row r="5" customFormat="false" ht="15" hidden="false" customHeight="false" outlineLevel="0" collapsed="false">
      <c r="A5" s="7" t="s">
        <v>48</v>
      </c>
      <c r="B5" s="7" t="s">
        <v>49</v>
      </c>
      <c r="C5" s="8" t="s">
        <v>50</v>
      </c>
      <c r="D5" s="8" t="s">
        <v>37</v>
      </c>
      <c r="E5" s="7" t="s">
        <v>38</v>
      </c>
      <c r="F5" s="7" t="s">
        <v>39</v>
      </c>
      <c r="G5" s="8" t="str">
        <f aca="false">IF(SUBSTITUTE(F5,".","")=TRIM(E5),"OK","DIVERGE")</f>
        <v>OK</v>
      </c>
      <c r="H5" s="7" t="s">
        <v>40</v>
      </c>
      <c r="I5" s="9" t="n">
        <v>46721</v>
      </c>
      <c r="J5" s="8" t="n">
        <v>12.6</v>
      </c>
      <c r="K5" s="8" t="s">
        <v>41</v>
      </c>
      <c r="L5" s="8" t="s">
        <v>19</v>
      </c>
      <c r="M5" s="10"/>
      <c r="N5" s="11"/>
      <c r="O5" s="10"/>
    </row>
    <row r="6" customFormat="false" ht="15" hidden="false" customHeight="false" outlineLevel="0" collapsed="false">
      <c r="A6" s="7" t="s">
        <v>51</v>
      </c>
      <c r="B6" s="7" t="s">
        <v>52</v>
      </c>
      <c r="C6" s="8" t="s">
        <v>53</v>
      </c>
      <c r="D6" s="8" t="s">
        <v>37</v>
      </c>
      <c r="E6" s="7" t="s">
        <v>38</v>
      </c>
      <c r="F6" s="7" t="s">
        <v>39</v>
      </c>
      <c r="G6" s="8" t="str">
        <f aca="false">IF(SUBSTITUTE(F6,".","")=TRIM(E6),"OK","DIVERGE")</f>
        <v>OK</v>
      </c>
      <c r="H6" s="7" t="s">
        <v>40</v>
      </c>
      <c r="I6" s="9" t="n">
        <v>46721</v>
      </c>
      <c r="J6" s="8" t="n">
        <v>12.6</v>
      </c>
      <c r="K6" s="8" t="s">
        <v>41</v>
      </c>
      <c r="L6" s="8" t="s">
        <v>19</v>
      </c>
      <c r="M6" s="10"/>
      <c r="N6" s="11"/>
      <c r="O6" s="10"/>
    </row>
    <row r="7" customFormat="false" ht="15" hidden="false" customHeight="false" outlineLevel="0" collapsed="false">
      <c r="A7" s="7" t="s">
        <v>54</v>
      </c>
      <c r="B7" s="7" t="s">
        <v>55</v>
      </c>
      <c r="C7" s="8" t="s">
        <v>56</v>
      </c>
      <c r="D7" s="8" t="s">
        <v>37</v>
      </c>
      <c r="E7" s="7" t="s">
        <v>38</v>
      </c>
      <c r="F7" s="7" t="s">
        <v>39</v>
      </c>
      <c r="G7" s="8" t="str">
        <f aca="false">IF(SUBSTITUTE(F7,".","")=TRIM(E7),"OK","DIVERGE")</f>
        <v>OK</v>
      </c>
      <c r="H7" s="7" t="s">
        <v>40</v>
      </c>
      <c r="I7" s="9" t="n">
        <v>46721</v>
      </c>
      <c r="J7" s="8" t="n">
        <v>12.6</v>
      </c>
      <c r="K7" s="8" t="s">
        <v>41</v>
      </c>
      <c r="L7" s="8" t="s">
        <v>19</v>
      </c>
      <c r="M7" s="10"/>
      <c r="N7" s="11"/>
      <c r="O7" s="10"/>
    </row>
    <row r="8" customFormat="false" ht="15" hidden="false" customHeight="false" outlineLevel="0" collapsed="false">
      <c r="A8" s="7" t="s">
        <v>57</v>
      </c>
      <c r="B8" s="7" t="s">
        <v>58</v>
      </c>
      <c r="C8" s="8" t="s">
        <v>59</v>
      </c>
      <c r="D8" s="8" t="s">
        <v>37</v>
      </c>
      <c r="E8" s="7" t="s">
        <v>38</v>
      </c>
      <c r="F8" s="7" t="s">
        <v>39</v>
      </c>
      <c r="G8" s="8" t="str">
        <f aca="false">IF(SUBSTITUTE(F8,".","")=TRIM(E8),"OK","DIVERGE")</f>
        <v>OK</v>
      </c>
      <c r="H8" s="7" t="s">
        <v>40</v>
      </c>
      <c r="I8" s="9" t="n">
        <v>46721</v>
      </c>
      <c r="J8" s="8" t="n">
        <v>12.6</v>
      </c>
      <c r="K8" s="8" t="s">
        <v>41</v>
      </c>
      <c r="L8" s="8" t="s">
        <v>19</v>
      </c>
      <c r="M8" s="10"/>
      <c r="N8" s="11"/>
      <c r="O8" s="10"/>
    </row>
    <row r="9" customFormat="false" ht="15" hidden="false" customHeight="false" outlineLevel="0" collapsed="false">
      <c r="A9" s="7" t="s">
        <v>60</v>
      </c>
      <c r="B9" s="7" t="s">
        <v>61</v>
      </c>
      <c r="C9" s="8" t="s">
        <v>62</v>
      </c>
      <c r="D9" s="8" t="s">
        <v>37</v>
      </c>
      <c r="E9" s="7" t="s">
        <v>38</v>
      </c>
      <c r="F9" s="7" t="s">
        <v>39</v>
      </c>
      <c r="G9" s="8" t="str">
        <f aca="false">IF(SUBSTITUTE(F9,".","")=TRIM(E9),"OK","DIVERGE")</f>
        <v>OK</v>
      </c>
      <c r="H9" s="7" t="s">
        <v>40</v>
      </c>
      <c r="I9" s="9" t="n">
        <v>46721</v>
      </c>
      <c r="J9" s="8" t="n">
        <v>12.6</v>
      </c>
      <c r="K9" s="8" t="s">
        <v>41</v>
      </c>
      <c r="L9" s="8" t="s">
        <v>19</v>
      </c>
      <c r="M9" s="10"/>
      <c r="N9" s="11"/>
      <c r="O9" s="10"/>
    </row>
    <row r="10" customFormat="false" ht="15" hidden="false" customHeight="false" outlineLevel="0" collapsed="false">
      <c r="A10" s="7" t="s">
        <v>63</v>
      </c>
      <c r="B10" s="7" t="s">
        <v>64</v>
      </c>
      <c r="C10" s="8" t="s">
        <v>65</v>
      </c>
      <c r="D10" s="8" t="s">
        <v>37</v>
      </c>
      <c r="E10" s="7" t="s">
        <v>38</v>
      </c>
      <c r="F10" s="7" t="s">
        <v>39</v>
      </c>
      <c r="G10" s="8" t="str">
        <f aca="false">IF(SUBSTITUTE(F10,".","")=TRIM(E10),"OK","DIVERGE")</f>
        <v>OK</v>
      </c>
      <c r="H10" s="7" t="s">
        <v>40</v>
      </c>
      <c r="I10" s="9" t="n">
        <v>46721</v>
      </c>
      <c r="J10" s="8" t="n">
        <v>12.6</v>
      </c>
      <c r="K10" s="8" t="s">
        <v>41</v>
      </c>
      <c r="L10" s="8" t="s">
        <v>19</v>
      </c>
      <c r="M10" s="10"/>
      <c r="N10" s="11"/>
      <c r="O10" s="10"/>
    </row>
    <row r="11" customFormat="false" ht="15" hidden="false" customHeight="false" outlineLevel="0" collapsed="false">
      <c r="A11" s="7" t="s">
        <v>66</v>
      </c>
      <c r="B11" s="7" t="s">
        <v>67</v>
      </c>
      <c r="C11" s="8" t="s">
        <v>68</v>
      </c>
      <c r="D11" s="8" t="s">
        <v>37</v>
      </c>
      <c r="E11" s="7" t="s">
        <v>38</v>
      </c>
      <c r="F11" s="7" t="s">
        <v>39</v>
      </c>
      <c r="G11" s="8" t="str">
        <f aca="false">IF(SUBSTITUTE(F11,".","")=TRIM(E11),"OK","DIVERGE")</f>
        <v>OK</v>
      </c>
      <c r="H11" s="7" t="s">
        <v>40</v>
      </c>
      <c r="I11" s="9" t="n">
        <v>46721</v>
      </c>
      <c r="J11" s="8" t="n">
        <v>12.6</v>
      </c>
      <c r="K11" s="8" t="s">
        <v>41</v>
      </c>
      <c r="L11" s="8" t="s">
        <v>19</v>
      </c>
      <c r="M11" s="10"/>
      <c r="N11" s="11"/>
      <c r="O11" s="10"/>
    </row>
    <row r="12" customFormat="false" ht="15" hidden="false" customHeight="false" outlineLevel="0" collapsed="false">
      <c r="A12" s="7" t="s">
        <v>69</v>
      </c>
      <c r="B12" s="7" t="s">
        <v>70</v>
      </c>
      <c r="C12" s="8" t="s">
        <v>71</v>
      </c>
      <c r="D12" s="8" t="s">
        <v>37</v>
      </c>
      <c r="E12" s="7" t="s">
        <v>38</v>
      </c>
      <c r="F12" s="7" t="s">
        <v>39</v>
      </c>
      <c r="G12" s="8" t="str">
        <f aca="false">IF(SUBSTITUTE(F12,".","")=TRIM(E12),"OK","DIVERGE")</f>
        <v>OK</v>
      </c>
      <c r="H12" s="7" t="s">
        <v>40</v>
      </c>
      <c r="I12" s="9" t="n">
        <v>46721</v>
      </c>
      <c r="J12" s="8" t="n">
        <v>12.6</v>
      </c>
      <c r="K12" s="8" t="s">
        <v>41</v>
      </c>
      <c r="L12" s="8" t="s">
        <v>19</v>
      </c>
      <c r="M12" s="10"/>
      <c r="N12" s="11"/>
      <c r="O12" s="10"/>
    </row>
    <row r="13" customFormat="false" ht="15" hidden="false" customHeight="false" outlineLevel="0" collapsed="false">
      <c r="A13" s="7" t="s">
        <v>72</v>
      </c>
      <c r="B13" s="7" t="s">
        <v>73</v>
      </c>
      <c r="C13" s="8" t="s">
        <v>74</v>
      </c>
      <c r="D13" s="8" t="s">
        <v>37</v>
      </c>
      <c r="E13" s="7" t="s">
        <v>38</v>
      </c>
      <c r="F13" s="7" t="s">
        <v>39</v>
      </c>
      <c r="G13" s="8" t="str">
        <f aca="false">IF(SUBSTITUTE(F13,".","")=TRIM(E13),"OK","DIVERGE")</f>
        <v>OK</v>
      </c>
      <c r="H13" s="7" t="s">
        <v>40</v>
      </c>
      <c r="I13" s="9" t="n">
        <v>46721</v>
      </c>
      <c r="J13" s="8" t="n">
        <v>12.6</v>
      </c>
      <c r="K13" s="8" t="s">
        <v>41</v>
      </c>
      <c r="L13" s="8" t="s">
        <v>19</v>
      </c>
      <c r="M13" s="10"/>
      <c r="N13" s="11"/>
      <c r="O13" s="10"/>
    </row>
    <row r="14" customFormat="false" ht="15" hidden="false" customHeight="false" outlineLevel="0" collapsed="false">
      <c r="A14" s="7" t="s">
        <v>75</v>
      </c>
      <c r="B14" s="7" t="s">
        <v>76</v>
      </c>
      <c r="C14" s="8" t="s">
        <v>77</v>
      </c>
      <c r="D14" s="8" t="s">
        <v>37</v>
      </c>
      <c r="E14" s="7" t="s">
        <v>38</v>
      </c>
      <c r="F14" s="7" t="s">
        <v>39</v>
      </c>
      <c r="G14" s="8" t="str">
        <f aca="false">IF(SUBSTITUTE(F14,".","")=TRIM(E14),"OK","DIVERGE")</f>
        <v>OK</v>
      </c>
      <c r="H14" s="7" t="s">
        <v>40</v>
      </c>
      <c r="I14" s="9" t="n">
        <v>46721</v>
      </c>
      <c r="J14" s="8" t="n">
        <v>12.6</v>
      </c>
      <c r="K14" s="8" t="s">
        <v>41</v>
      </c>
      <c r="L14" s="8" t="s">
        <v>19</v>
      </c>
      <c r="M14" s="10"/>
      <c r="N14" s="11"/>
      <c r="O14" s="10"/>
    </row>
    <row r="15" customFormat="false" ht="15" hidden="false" customHeight="false" outlineLevel="0" collapsed="false">
      <c r="A15" s="7" t="s">
        <v>78</v>
      </c>
      <c r="B15" s="7" t="s">
        <v>79</v>
      </c>
      <c r="C15" s="8" t="s">
        <v>80</v>
      </c>
      <c r="D15" s="8" t="s">
        <v>37</v>
      </c>
      <c r="E15" s="7" t="s">
        <v>38</v>
      </c>
      <c r="F15" s="7" t="s">
        <v>39</v>
      </c>
      <c r="G15" s="8" t="str">
        <f aca="false">IF(SUBSTITUTE(F15,".","")=TRIM(E15),"OK","DIVERGE")</f>
        <v>OK</v>
      </c>
      <c r="H15" s="7" t="s">
        <v>40</v>
      </c>
      <c r="I15" s="9" t="n">
        <v>46721</v>
      </c>
      <c r="J15" s="8" t="n">
        <v>12.6</v>
      </c>
      <c r="K15" s="8" t="s">
        <v>41</v>
      </c>
      <c r="L15" s="8" t="s">
        <v>19</v>
      </c>
      <c r="M15" s="10"/>
      <c r="N15" s="11"/>
      <c r="O15" s="10"/>
    </row>
    <row r="16" customFormat="false" ht="15" hidden="false" customHeight="false" outlineLevel="0" collapsed="false">
      <c r="A16" s="7" t="s">
        <v>81</v>
      </c>
      <c r="B16" s="7" t="s">
        <v>82</v>
      </c>
      <c r="C16" s="8" t="s">
        <v>83</v>
      </c>
      <c r="D16" s="8" t="s">
        <v>37</v>
      </c>
      <c r="E16" s="7" t="s">
        <v>38</v>
      </c>
      <c r="F16" s="7" t="s">
        <v>39</v>
      </c>
      <c r="G16" s="8" t="str">
        <f aca="false">IF(SUBSTITUTE(F16,".","")=TRIM(E16),"OK","DIVERGE")</f>
        <v>OK</v>
      </c>
      <c r="H16" s="7" t="s">
        <v>40</v>
      </c>
      <c r="I16" s="9" t="n">
        <v>46721</v>
      </c>
      <c r="J16" s="8" t="n">
        <v>12.6</v>
      </c>
      <c r="K16" s="8" t="s">
        <v>41</v>
      </c>
      <c r="L16" s="8" t="s">
        <v>19</v>
      </c>
      <c r="M16" s="10"/>
      <c r="N16" s="11"/>
      <c r="O16" s="10"/>
    </row>
    <row r="17" customFormat="false" ht="15" hidden="false" customHeight="false" outlineLevel="0" collapsed="false">
      <c r="A17" s="7" t="s">
        <v>84</v>
      </c>
      <c r="B17" s="7" t="s">
        <v>85</v>
      </c>
      <c r="C17" s="8" t="s">
        <v>86</v>
      </c>
      <c r="D17" s="8" t="s">
        <v>37</v>
      </c>
      <c r="E17" s="7" t="s">
        <v>38</v>
      </c>
      <c r="F17" s="7" t="s">
        <v>39</v>
      </c>
      <c r="G17" s="8" t="str">
        <f aca="false">IF(SUBSTITUTE(F17,".","")=TRIM(E17),"OK","DIVERGE")</f>
        <v>OK</v>
      </c>
      <c r="H17" s="7" t="s">
        <v>40</v>
      </c>
      <c r="I17" s="9" t="n">
        <v>46721</v>
      </c>
      <c r="J17" s="8" t="n">
        <v>12.6</v>
      </c>
      <c r="K17" s="8" t="s">
        <v>41</v>
      </c>
      <c r="L17" s="8" t="s">
        <v>19</v>
      </c>
      <c r="M17" s="10"/>
      <c r="N17" s="11"/>
      <c r="O17" s="10"/>
    </row>
    <row r="18" customFormat="false" ht="15" hidden="false" customHeight="false" outlineLevel="0" collapsed="false">
      <c r="A18" s="7" t="s">
        <v>87</v>
      </c>
      <c r="B18" s="7" t="s">
        <v>88</v>
      </c>
      <c r="C18" s="8" t="s">
        <v>89</v>
      </c>
      <c r="D18" s="8" t="s">
        <v>37</v>
      </c>
      <c r="E18" s="7" t="s">
        <v>38</v>
      </c>
      <c r="F18" s="7" t="s">
        <v>39</v>
      </c>
      <c r="G18" s="8" t="str">
        <f aca="false">IF(SUBSTITUTE(F18,".","")=TRIM(E18),"OK","DIVERGE")</f>
        <v>OK</v>
      </c>
      <c r="H18" s="7" t="s">
        <v>40</v>
      </c>
      <c r="I18" s="9" t="n">
        <v>46721</v>
      </c>
      <c r="J18" s="8" t="n">
        <v>12.6</v>
      </c>
      <c r="K18" s="8" t="s">
        <v>41</v>
      </c>
      <c r="L18" s="8" t="s">
        <v>19</v>
      </c>
      <c r="M18" s="10"/>
      <c r="N18" s="11"/>
      <c r="O18" s="10"/>
    </row>
    <row r="19" customFormat="false" ht="15" hidden="false" customHeight="false" outlineLevel="0" collapsed="false">
      <c r="A19" s="7" t="s">
        <v>90</v>
      </c>
      <c r="B19" s="7" t="s">
        <v>91</v>
      </c>
      <c r="C19" s="8" t="s">
        <v>92</v>
      </c>
      <c r="D19" s="8" t="s">
        <v>37</v>
      </c>
      <c r="E19" s="7" t="s">
        <v>38</v>
      </c>
      <c r="F19" s="7" t="s">
        <v>39</v>
      </c>
      <c r="G19" s="8" t="str">
        <f aca="false">IF(SUBSTITUTE(F19,".","")=TRIM(E19),"OK","DIVERGE")</f>
        <v>OK</v>
      </c>
      <c r="H19" s="7" t="s">
        <v>40</v>
      </c>
      <c r="I19" s="9" t="n">
        <v>46721</v>
      </c>
      <c r="J19" s="8" t="n">
        <v>12.6</v>
      </c>
      <c r="K19" s="8" t="s">
        <v>41</v>
      </c>
      <c r="L19" s="8" t="s">
        <v>19</v>
      </c>
      <c r="M19" s="10"/>
      <c r="N19" s="11"/>
      <c r="O19" s="10"/>
    </row>
    <row r="20" customFormat="false" ht="15" hidden="false" customHeight="false" outlineLevel="0" collapsed="false">
      <c r="A20" s="7" t="s">
        <v>93</v>
      </c>
      <c r="B20" s="7" t="s">
        <v>94</v>
      </c>
      <c r="C20" s="8" t="s">
        <v>95</v>
      </c>
      <c r="D20" s="8" t="s">
        <v>37</v>
      </c>
      <c r="E20" s="7" t="s">
        <v>38</v>
      </c>
      <c r="F20" s="7" t="s">
        <v>39</v>
      </c>
      <c r="G20" s="8" t="str">
        <f aca="false">IF(SUBSTITUTE(F20,".","")=TRIM(E20),"OK","DIVERGE")</f>
        <v>OK</v>
      </c>
      <c r="H20" s="7" t="s">
        <v>40</v>
      </c>
      <c r="I20" s="9" t="n">
        <v>46721</v>
      </c>
      <c r="J20" s="8" t="n">
        <v>12.6</v>
      </c>
      <c r="K20" s="8" t="s">
        <v>41</v>
      </c>
      <c r="L20" s="8" t="s">
        <v>19</v>
      </c>
      <c r="M20" s="10"/>
      <c r="N20" s="11"/>
      <c r="O20" s="10"/>
    </row>
    <row r="21" customFormat="false" ht="15" hidden="false" customHeight="false" outlineLevel="0" collapsed="false">
      <c r="A21" s="7" t="s">
        <v>96</v>
      </c>
      <c r="B21" s="7" t="s">
        <v>97</v>
      </c>
      <c r="C21" s="8" t="s">
        <v>98</v>
      </c>
      <c r="D21" s="8" t="s">
        <v>37</v>
      </c>
      <c r="E21" s="7" t="s">
        <v>38</v>
      </c>
      <c r="F21" s="7" t="s">
        <v>39</v>
      </c>
      <c r="G21" s="8" t="str">
        <f aca="false">IF(SUBSTITUTE(F21,".","")=TRIM(E21),"OK","DIVERGE")</f>
        <v>OK</v>
      </c>
      <c r="H21" s="7" t="s">
        <v>40</v>
      </c>
      <c r="I21" s="9" t="n">
        <v>46721</v>
      </c>
      <c r="J21" s="8" t="n">
        <v>12.6</v>
      </c>
      <c r="K21" s="8" t="s">
        <v>41</v>
      </c>
      <c r="L21" s="8" t="s">
        <v>19</v>
      </c>
      <c r="M21" s="10"/>
      <c r="N21" s="11"/>
      <c r="O21" s="10"/>
    </row>
    <row r="22" customFormat="false" ht="15" hidden="false" customHeight="false" outlineLevel="0" collapsed="false">
      <c r="A22" s="7" t="s">
        <v>99</v>
      </c>
      <c r="B22" s="7" t="s">
        <v>100</v>
      </c>
      <c r="C22" s="8" t="s">
        <v>101</v>
      </c>
      <c r="D22" s="8" t="s">
        <v>37</v>
      </c>
      <c r="E22" s="7" t="s">
        <v>38</v>
      </c>
      <c r="F22" s="7" t="s">
        <v>39</v>
      </c>
      <c r="G22" s="8" t="str">
        <f aca="false">IF(SUBSTITUTE(F22,".","")=TRIM(E22),"OK","DIVERGE")</f>
        <v>OK</v>
      </c>
      <c r="H22" s="7" t="s">
        <v>40</v>
      </c>
      <c r="I22" s="9" t="n">
        <v>46721</v>
      </c>
      <c r="J22" s="8" t="n">
        <v>12.6</v>
      </c>
      <c r="K22" s="8" t="s">
        <v>41</v>
      </c>
      <c r="L22" s="8" t="s">
        <v>19</v>
      </c>
      <c r="M22" s="10"/>
      <c r="N22" s="11"/>
      <c r="O22" s="10"/>
    </row>
    <row r="23" customFormat="false" ht="15" hidden="false" customHeight="false" outlineLevel="0" collapsed="false">
      <c r="A23" s="7" t="s">
        <v>102</v>
      </c>
      <c r="B23" s="7" t="s">
        <v>103</v>
      </c>
      <c r="C23" s="8" t="s">
        <v>104</v>
      </c>
      <c r="D23" s="8" t="s">
        <v>37</v>
      </c>
      <c r="E23" s="7" t="s">
        <v>38</v>
      </c>
      <c r="F23" s="7" t="s">
        <v>39</v>
      </c>
      <c r="G23" s="8" t="str">
        <f aca="false">IF(SUBSTITUTE(F23,".","")=TRIM(E23),"OK","DIVERGE")</f>
        <v>OK</v>
      </c>
      <c r="H23" s="7" t="s">
        <v>40</v>
      </c>
      <c r="I23" s="9" t="n">
        <v>46721</v>
      </c>
      <c r="J23" s="8" t="n">
        <v>12.6</v>
      </c>
      <c r="K23" s="8" t="s">
        <v>41</v>
      </c>
      <c r="L23" s="8" t="s">
        <v>19</v>
      </c>
      <c r="M23" s="10"/>
      <c r="N23" s="11"/>
      <c r="O23" s="10"/>
    </row>
    <row r="24" customFormat="false" ht="15" hidden="false" customHeight="false" outlineLevel="0" collapsed="false">
      <c r="A24" s="7" t="s">
        <v>105</v>
      </c>
      <c r="B24" s="7" t="s">
        <v>106</v>
      </c>
      <c r="C24" s="8" t="s">
        <v>107</v>
      </c>
      <c r="D24" s="8" t="s">
        <v>37</v>
      </c>
      <c r="E24" s="7" t="s">
        <v>38</v>
      </c>
      <c r="F24" s="7" t="s">
        <v>39</v>
      </c>
      <c r="G24" s="8" t="str">
        <f aca="false">IF(SUBSTITUTE(F24,".","")=TRIM(E24),"OK","DIVERGE")</f>
        <v>OK</v>
      </c>
      <c r="H24" s="7" t="s">
        <v>40</v>
      </c>
      <c r="I24" s="9" t="n">
        <v>46721</v>
      </c>
      <c r="J24" s="8" t="n">
        <v>12.6</v>
      </c>
      <c r="K24" s="8" t="s">
        <v>41</v>
      </c>
      <c r="L24" s="8" t="s">
        <v>19</v>
      </c>
      <c r="M24" s="10"/>
      <c r="N24" s="11"/>
      <c r="O24" s="10"/>
    </row>
    <row r="25" customFormat="false" ht="15" hidden="false" customHeight="false" outlineLevel="0" collapsed="false">
      <c r="A25" s="7" t="s">
        <v>108</v>
      </c>
      <c r="B25" s="7" t="s">
        <v>109</v>
      </c>
      <c r="C25" s="8" t="s">
        <v>110</v>
      </c>
      <c r="D25" s="8" t="s">
        <v>37</v>
      </c>
      <c r="E25" s="7" t="s">
        <v>38</v>
      </c>
      <c r="F25" s="7" t="s">
        <v>39</v>
      </c>
      <c r="G25" s="8" t="str">
        <f aca="false">IF(SUBSTITUTE(F25,".","")=TRIM(E25),"OK","DIVERGE")</f>
        <v>OK</v>
      </c>
      <c r="H25" s="7" t="s">
        <v>40</v>
      </c>
      <c r="I25" s="9" t="n">
        <v>46721</v>
      </c>
      <c r="J25" s="8" t="n">
        <v>12.6</v>
      </c>
      <c r="K25" s="8" t="s">
        <v>41</v>
      </c>
      <c r="L25" s="8" t="s">
        <v>19</v>
      </c>
      <c r="M25" s="10"/>
      <c r="N25" s="11"/>
      <c r="O25" s="10"/>
    </row>
    <row r="26" customFormat="false" ht="15" hidden="false" customHeight="false" outlineLevel="0" collapsed="false">
      <c r="A26" s="7" t="s">
        <v>111</v>
      </c>
      <c r="B26" s="7" t="s">
        <v>112</v>
      </c>
      <c r="C26" s="8" t="s">
        <v>113</v>
      </c>
      <c r="D26" s="8" t="s">
        <v>37</v>
      </c>
      <c r="E26" s="7" t="s">
        <v>38</v>
      </c>
      <c r="F26" s="7" t="s">
        <v>39</v>
      </c>
      <c r="G26" s="8" t="str">
        <f aca="false">IF(SUBSTITUTE(F26,".","")=TRIM(E26),"OK","DIVERGE")</f>
        <v>OK</v>
      </c>
      <c r="H26" s="7" t="s">
        <v>40</v>
      </c>
      <c r="I26" s="9" t="n">
        <v>46721</v>
      </c>
      <c r="J26" s="8" t="n">
        <v>12.6</v>
      </c>
      <c r="K26" s="8" t="s">
        <v>41</v>
      </c>
      <c r="L26" s="8" t="s">
        <v>19</v>
      </c>
      <c r="M26" s="10"/>
      <c r="N26" s="11"/>
      <c r="O26" s="10"/>
    </row>
    <row r="27" customFormat="false" ht="15" hidden="false" customHeight="false" outlineLevel="0" collapsed="false">
      <c r="A27" s="7" t="s">
        <v>114</v>
      </c>
      <c r="B27" s="7" t="s">
        <v>115</v>
      </c>
      <c r="C27" s="8" t="s">
        <v>116</v>
      </c>
      <c r="D27" s="8" t="s">
        <v>37</v>
      </c>
      <c r="E27" s="7" t="s">
        <v>38</v>
      </c>
      <c r="F27" s="7" t="s">
        <v>39</v>
      </c>
      <c r="G27" s="8" t="str">
        <f aca="false">IF(SUBSTITUTE(F27,".","")=TRIM(E27),"OK","DIVERGE")</f>
        <v>OK</v>
      </c>
      <c r="H27" s="7" t="s">
        <v>40</v>
      </c>
      <c r="I27" s="9" t="n">
        <v>46721</v>
      </c>
      <c r="J27" s="8" t="n">
        <v>12.6</v>
      </c>
      <c r="K27" s="8" t="s">
        <v>41</v>
      </c>
      <c r="L27" s="8" t="s">
        <v>19</v>
      </c>
      <c r="M27" s="10"/>
      <c r="N27" s="11"/>
      <c r="O27" s="10"/>
    </row>
    <row r="28" customFormat="false" ht="15" hidden="false" customHeight="false" outlineLevel="0" collapsed="false">
      <c r="A28" s="7" t="s">
        <v>117</v>
      </c>
      <c r="B28" s="7" t="s">
        <v>118</v>
      </c>
      <c r="C28" s="8" t="s">
        <v>119</v>
      </c>
      <c r="D28" s="8" t="s">
        <v>37</v>
      </c>
      <c r="E28" s="7" t="s">
        <v>38</v>
      </c>
      <c r="F28" s="7" t="s">
        <v>39</v>
      </c>
      <c r="G28" s="8" t="str">
        <f aca="false">IF(SUBSTITUTE(F28,".","")=TRIM(E28),"OK","DIVERGE")</f>
        <v>OK</v>
      </c>
      <c r="H28" s="7" t="s">
        <v>40</v>
      </c>
      <c r="I28" s="9" t="n">
        <v>46721</v>
      </c>
      <c r="J28" s="8" t="n">
        <v>12.6</v>
      </c>
      <c r="K28" s="8" t="s">
        <v>41</v>
      </c>
      <c r="L28" s="8" t="s">
        <v>19</v>
      </c>
      <c r="M28" s="10"/>
      <c r="N28" s="11"/>
      <c r="O28" s="10"/>
    </row>
    <row r="29" customFormat="false" ht="15" hidden="false" customHeight="false" outlineLevel="0" collapsed="false">
      <c r="A29" s="7" t="s">
        <v>120</v>
      </c>
      <c r="B29" s="7" t="s">
        <v>121</v>
      </c>
      <c r="C29" s="8" t="s">
        <v>122</v>
      </c>
      <c r="D29" s="8" t="s">
        <v>37</v>
      </c>
      <c r="E29" s="7" t="s">
        <v>38</v>
      </c>
      <c r="F29" s="7" t="s">
        <v>39</v>
      </c>
      <c r="G29" s="8" t="str">
        <f aca="false">IF(SUBSTITUTE(F29,".","")=TRIM(E29),"OK","DIVERGE")</f>
        <v>OK</v>
      </c>
      <c r="H29" s="7" t="s">
        <v>40</v>
      </c>
      <c r="I29" s="9" t="n">
        <v>46721</v>
      </c>
      <c r="J29" s="8" t="n">
        <v>12.6</v>
      </c>
      <c r="K29" s="8" t="s">
        <v>41</v>
      </c>
      <c r="L29" s="8" t="s">
        <v>19</v>
      </c>
      <c r="M29" s="10"/>
      <c r="N29" s="11"/>
      <c r="O29" s="10"/>
    </row>
    <row r="30" customFormat="false" ht="15" hidden="false" customHeight="false" outlineLevel="0" collapsed="false">
      <c r="A30" s="7" t="s">
        <v>123</v>
      </c>
      <c r="B30" s="7" t="s">
        <v>124</v>
      </c>
      <c r="C30" s="8" t="s">
        <v>125</v>
      </c>
      <c r="D30" s="8" t="s">
        <v>37</v>
      </c>
      <c r="E30" s="7" t="s">
        <v>38</v>
      </c>
      <c r="F30" s="7" t="s">
        <v>39</v>
      </c>
      <c r="G30" s="8" t="str">
        <f aca="false">IF(SUBSTITUTE(F30,".","")=TRIM(E30),"OK","DIVERGE")</f>
        <v>OK</v>
      </c>
      <c r="H30" s="7" t="s">
        <v>40</v>
      </c>
      <c r="I30" s="9" t="n">
        <v>46721</v>
      </c>
      <c r="J30" s="8" t="n">
        <v>12.6</v>
      </c>
      <c r="K30" s="8" t="s">
        <v>41</v>
      </c>
      <c r="L30" s="8" t="s">
        <v>19</v>
      </c>
      <c r="M30" s="10"/>
      <c r="N30" s="11"/>
      <c r="O30" s="10"/>
    </row>
    <row r="31" customFormat="false" ht="15" hidden="false" customHeight="false" outlineLevel="0" collapsed="false">
      <c r="A31" s="7" t="s">
        <v>126</v>
      </c>
      <c r="B31" s="7" t="s">
        <v>127</v>
      </c>
      <c r="C31" s="8" t="s">
        <v>128</v>
      </c>
      <c r="D31" s="8" t="s">
        <v>37</v>
      </c>
      <c r="E31" s="7" t="s">
        <v>38</v>
      </c>
      <c r="F31" s="7" t="s">
        <v>39</v>
      </c>
      <c r="G31" s="8" t="str">
        <f aca="false">IF(SUBSTITUTE(F31,".","")=TRIM(E31),"OK","DIVERGE")</f>
        <v>OK</v>
      </c>
      <c r="H31" s="7" t="s">
        <v>40</v>
      </c>
      <c r="I31" s="9" t="n">
        <v>46721</v>
      </c>
      <c r="J31" s="8" t="n">
        <v>12.6</v>
      </c>
      <c r="K31" s="8" t="s">
        <v>41</v>
      </c>
      <c r="L31" s="8" t="s">
        <v>19</v>
      </c>
      <c r="M31" s="10"/>
      <c r="N31" s="11"/>
      <c r="O31" s="10"/>
    </row>
    <row r="32" customFormat="false" ht="15" hidden="false" customHeight="false" outlineLevel="0" collapsed="false">
      <c r="A32" s="7" t="s">
        <v>129</v>
      </c>
      <c r="B32" s="7" t="s">
        <v>130</v>
      </c>
      <c r="C32" s="8" t="s">
        <v>131</v>
      </c>
      <c r="D32" s="8" t="s">
        <v>37</v>
      </c>
      <c r="E32" s="7" t="s">
        <v>38</v>
      </c>
      <c r="F32" s="7" t="s">
        <v>39</v>
      </c>
      <c r="G32" s="8" t="str">
        <f aca="false">IF(SUBSTITUTE(F32,".","")=TRIM(E32),"OK","DIVERGE")</f>
        <v>OK</v>
      </c>
      <c r="H32" s="7" t="s">
        <v>40</v>
      </c>
      <c r="I32" s="9" t="n">
        <v>46721</v>
      </c>
      <c r="J32" s="8" t="n">
        <v>12.6</v>
      </c>
      <c r="K32" s="8" t="s">
        <v>41</v>
      </c>
      <c r="L32" s="8" t="s">
        <v>19</v>
      </c>
      <c r="M32" s="10"/>
      <c r="N32" s="11"/>
      <c r="O32" s="10"/>
    </row>
    <row r="33" customFormat="false" ht="15" hidden="false" customHeight="false" outlineLevel="0" collapsed="false">
      <c r="A33" s="7" t="s">
        <v>132</v>
      </c>
      <c r="B33" s="7" t="s">
        <v>133</v>
      </c>
      <c r="C33" s="8" t="s">
        <v>134</v>
      </c>
      <c r="D33" s="8" t="s">
        <v>37</v>
      </c>
      <c r="E33" s="7" t="s">
        <v>38</v>
      </c>
      <c r="F33" s="7" t="s">
        <v>39</v>
      </c>
      <c r="G33" s="8" t="str">
        <f aca="false">IF(SUBSTITUTE(F33,".","")=TRIM(E33),"OK","DIVERGE")</f>
        <v>OK</v>
      </c>
      <c r="H33" s="7" t="s">
        <v>40</v>
      </c>
      <c r="I33" s="9" t="n">
        <v>46721</v>
      </c>
      <c r="J33" s="8" t="n">
        <v>12.6</v>
      </c>
      <c r="K33" s="8" t="s">
        <v>41</v>
      </c>
      <c r="L33" s="8" t="s">
        <v>19</v>
      </c>
      <c r="M33" s="10"/>
      <c r="N33" s="11"/>
      <c r="O33" s="10"/>
    </row>
    <row r="34" customFormat="false" ht="15" hidden="false" customHeight="false" outlineLevel="0" collapsed="false">
      <c r="A34" s="7" t="s">
        <v>135</v>
      </c>
      <c r="B34" s="7" t="s">
        <v>136</v>
      </c>
      <c r="C34" s="8" t="s">
        <v>137</v>
      </c>
      <c r="D34" s="8" t="s">
        <v>37</v>
      </c>
      <c r="E34" s="7" t="s">
        <v>38</v>
      </c>
      <c r="F34" s="7" t="s">
        <v>39</v>
      </c>
      <c r="G34" s="8" t="str">
        <f aca="false">IF(SUBSTITUTE(F34,".","")=TRIM(E34),"OK","DIVERGE")</f>
        <v>OK</v>
      </c>
      <c r="H34" s="7" t="s">
        <v>40</v>
      </c>
      <c r="I34" s="9" t="n">
        <v>46721</v>
      </c>
      <c r="J34" s="8" t="n">
        <v>12.6</v>
      </c>
      <c r="K34" s="8" t="s">
        <v>41</v>
      </c>
      <c r="L34" s="8" t="s">
        <v>19</v>
      </c>
      <c r="M34" s="10"/>
      <c r="N34" s="11"/>
      <c r="O34" s="10"/>
    </row>
    <row r="35" customFormat="false" ht="15" hidden="false" customHeight="false" outlineLevel="0" collapsed="false">
      <c r="A35" s="7" t="s">
        <v>138</v>
      </c>
      <c r="B35" s="7" t="s">
        <v>139</v>
      </c>
      <c r="C35" s="8" t="s">
        <v>140</v>
      </c>
      <c r="D35" s="8" t="s">
        <v>37</v>
      </c>
      <c r="E35" s="7" t="s">
        <v>38</v>
      </c>
      <c r="F35" s="7" t="s">
        <v>39</v>
      </c>
      <c r="G35" s="8" t="str">
        <f aca="false">IF(SUBSTITUTE(F35,".","")=TRIM(E35),"OK","DIVERGE")</f>
        <v>OK</v>
      </c>
      <c r="H35" s="7" t="s">
        <v>40</v>
      </c>
      <c r="I35" s="9" t="n">
        <v>46721</v>
      </c>
      <c r="J35" s="8" t="n">
        <v>12.6</v>
      </c>
      <c r="K35" s="8" t="s">
        <v>41</v>
      </c>
      <c r="L35" s="8" t="s">
        <v>19</v>
      </c>
      <c r="M35" s="10"/>
      <c r="N35" s="11"/>
      <c r="O35" s="10"/>
    </row>
    <row r="36" customFormat="false" ht="15" hidden="false" customHeight="false" outlineLevel="0" collapsed="false">
      <c r="A36" s="7" t="s">
        <v>141</v>
      </c>
      <c r="B36" s="7" t="s">
        <v>142</v>
      </c>
      <c r="C36" s="8" t="s">
        <v>143</v>
      </c>
      <c r="D36" s="8" t="s">
        <v>37</v>
      </c>
      <c r="E36" s="7" t="s">
        <v>38</v>
      </c>
      <c r="F36" s="7" t="s">
        <v>39</v>
      </c>
      <c r="G36" s="8" t="str">
        <f aca="false">IF(SUBSTITUTE(F36,".","")=TRIM(E36),"OK","DIVERGE")</f>
        <v>OK</v>
      </c>
      <c r="H36" s="7" t="s">
        <v>40</v>
      </c>
      <c r="I36" s="9" t="n">
        <v>46721</v>
      </c>
      <c r="J36" s="8" t="n">
        <v>12.6</v>
      </c>
      <c r="K36" s="8" t="s">
        <v>41</v>
      </c>
      <c r="L36" s="8" t="s">
        <v>19</v>
      </c>
      <c r="M36" s="10"/>
      <c r="N36" s="11"/>
      <c r="O36" s="10"/>
    </row>
    <row r="37" customFormat="false" ht="15" hidden="false" customHeight="false" outlineLevel="0" collapsed="false">
      <c r="A37" s="7" t="s">
        <v>144</v>
      </c>
      <c r="B37" s="7" t="s">
        <v>145</v>
      </c>
      <c r="C37" s="8" t="s">
        <v>146</v>
      </c>
      <c r="D37" s="8" t="s">
        <v>37</v>
      </c>
      <c r="E37" s="7" t="s">
        <v>38</v>
      </c>
      <c r="F37" s="7" t="s">
        <v>39</v>
      </c>
      <c r="G37" s="8" t="str">
        <f aca="false">IF(SUBSTITUTE(F37,".","")=TRIM(E37),"OK","DIVERGE")</f>
        <v>OK</v>
      </c>
      <c r="H37" s="7" t="s">
        <v>40</v>
      </c>
      <c r="I37" s="9" t="n">
        <v>46721</v>
      </c>
      <c r="J37" s="8" t="n">
        <v>12.6</v>
      </c>
      <c r="K37" s="8" t="s">
        <v>41</v>
      </c>
      <c r="L37" s="8" t="s">
        <v>19</v>
      </c>
      <c r="M37" s="10"/>
      <c r="N37" s="11"/>
      <c r="O37" s="10"/>
    </row>
    <row r="38" customFormat="false" ht="15" hidden="false" customHeight="false" outlineLevel="0" collapsed="false">
      <c r="A38" s="7" t="s">
        <v>147</v>
      </c>
      <c r="B38" s="7" t="s">
        <v>148</v>
      </c>
      <c r="C38" s="8" t="s">
        <v>149</v>
      </c>
      <c r="D38" s="8" t="s">
        <v>37</v>
      </c>
      <c r="E38" s="7" t="s">
        <v>38</v>
      </c>
      <c r="F38" s="7" t="s">
        <v>39</v>
      </c>
      <c r="G38" s="8" t="str">
        <f aca="false">IF(SUBSTITUTE(F38,".","")=TRIM(E38),"OK","DIVERGE")</f>
        <v>OK</v>
      </c>
      <c r="H38" s="7" t="s">
        <v>40</v>
      </c>
      <c r="I38" s="9" t="n">
        <v>46721</v>
      </c>
      <c r="J38" s="8" t="n">
        <v>12.6</v>
      </c>
      <c r="K38" s="8" t="s">
        <v>41</v>
      </c>
      <c r="L38" s="8" t="s">
        <v>19</v>
      </c>
      <c r="M38" s="10"/>
      <c r="N38" s="11"/>
      <c r="O38" s="10"/>
    </row>
    <row r="39" customFormat="false" ht="15" hidden="false" customHeight="false" outlineLevel="0" collapsed="false">
      <c r="A39" s="7" t="s">
        <v>150</v>
      </c>
      <c r="B39" s="7" t="s">
        <v>151</v>
      </c>
      <c r="C39" s="8" t="s">
        <v>152</v>
      </c>
      <c r="D39" s="8" t="s">
        <v>37</v>
      </c>
      <c r="E39" s="7" t="s">
        <v>38</v>
      </c>
      <c r="F39" s="7" t="s">
        <v>39</v>
      </c>
      <c r="G39" s="8" t="str">
        <f aca="false">IF(SUBSTITUTE(F39,".","")=TRIM(E39),"OK","DIVERGE")</f>
        <v>OK</v>
      </c>
      <c r="H39" s="7" t="s">
        <v>40</v>
      </c>
      <c r="I39" s="9" t="n">
        <v>46721</v>
      </c>
      <c r="J39" s="8" t="n">
        <v>12.6</v>
      </c>
      <c r="K39" s="8" t="s">
        <v>41</v>
      </c>
      <c r="L39" s="8" t="s">
        <v>19</v>
      </c>
      <c r="M39" s="10"/>
      <c r="N39" s="11"/>
      <c r="O39" s="10"/>
    </row>
    <row r="40" customFormat="false" ht="15" hidden="false" customHeight="false" outlineLevel="0" collapsed="false">
      <c r="A40" s="7" t="s">
        <v>153</v>
      </c>
      <c r="B40" s="7" t="s">
        <v>154</v>
      </c>
      <c r="C40" s="8" t="s">
        <v>155</v>
      </c>
      <c r="D40" s="8" t="s">
        <v>37</v>
      </c>
      <c r="E40" s="7" t="s">
        <v>38</v>
      </c>
      <c r="F40" s="7" t="s">
        <v>39</v>
      </c>
      <c r="G40" s="8" t="str">
        <f aca="false">IF(SUBSTITUTE(F40,".","")=TRIM(E40),"OK","DIVERGE")</f>
        <v>OK</v>
      </c>
      <c r="H40" s="7" t="s">
        <v>40</v>
      </c>
      <c r="I40" s="9" t="n">
        <v>46721</v>
      </c>
      <c r="J40" s="8" t="n">
        <v>12.6</v>
      </c>
      <c r="K40" s="8" t="s">
        <v>41</v>
      </c>
      <c r="L40" s="8" t="s">
        <v>19</v>
      </c>
      <c r="M40" s="10"/>
      <c r="N40" s="11"/>
      <c r="O40" s="10"/>
    </row>
    <row r="41" customFormat="false" ht="15" hidden="false" customHeight="false" outlineLevel="0" collapsed="false">
      <c r="A41" s="7" t="s">
        <v>156</v>
      </c>
      <c r="B41" s="7" t="s">
        <v>157</v>
      </c>
      <c r="C41" s="8" t="s">
        <v>158</v>
      </c>
      <c r="D41" s="8" t="s">
        <v>37</v>
      </c>
      <c r="E41" s="7" t="s">
        <v>38</v>
      </c>
      <c r="F41" s="7" t="s">
        <v>39</v>
      </c>
      <c r="G41" s="8" t="str">
        <f aca="false">IF(SUBSTITUTE(F41,".","")=TRIM(E41),"OK","DIVERGE")</f>
        <v>OK</v>
      </c>
      <c r="H41" s="7" t="s">
        <v>40</v>
      </c>
      <c r="I41" s="9" t="n">
        <v>46721</v>
      </c>
      <c r="J41" s="8" t="n">
        <v>12.6</v>
      </c>
      <c r="K41" s="8" t="s">
        <v>41</v>
      </c>
      <c r="L41" s="8" t="s">
        <v>19</v>
      </c>
      <c r="M41" s="10"/>
      <c r="N41" s="11"/>
      <c r="O41" s="10"/>
    </row>
    <row r="42" customFormat="false" ht="15" hidden="false" customHeight="false" outlineLevel="0" collapsed="false">
      <c r="A42" s="7" t="s">
        <v>159</v>
      </c>
      <c r="B42" s="7" t="s">
        <v>160</v>
      </c>
      <c r="C42" s="8" t="s">
        <v>161</v>
      </c>
      <c r="D42" s="8" t="s">
        <v>37</v>
      </c>
      <c r="E42" s="7" t="s">
        <v>38</v>
      </c>
      <c r="F42" s="7" t="s">
        <v>39</v>
      </c>
      <c r="G42" s="8" t="str">
        <f aca="false">IF(SUBSTITUTE(F42,".","")=TRIM(E42),"OK","DIVERGE")</f>
        <v>OK</v>
      </c>
      <c r="H42" s="7" t="s">
        <v>40</v>
      </c>
      <c r="I42" s="9" t="n">
        <v>46721</v>
      </c>
      <c r="J42" s="8" t="n">
        <v>12.6</v>
      </c>
      <c r="K42" s="8" t="s">
        <v>41</v>
      </c>
      <c r="L42" s="8" t="s">
        <v>19</v>
      </c>
      <c r="M42" s="10"/>
      <c r="N42" s="11"/>
      <c r="O42" s="10"/>
    </row>
    <row r="43" customFormat="false" ht="15" hidden="false" customHeight="false" outlineLevel="0" collapsed="false">
      <c r="A43" s="7" t="s">
        <v>162</v>
      </c>
      <c r="B43" s="7" t="s">
        <v>163</v>
      </c>
      <c r="C43" s="8" t="s">
        <v>164</v>
      </c>
      <c r="D43" s="8" t="s">
        <v>37</v>
      </c>
      <c r="E43" s="7" t="s">
        <v>38</v>
      </c>
      <c r="F43" s="7" t="s">
        <v>39</v>
      </c>
      <c r="G43" s="8" t="str">
        <f aca="false">IF(SUBSTITUTE(F43,".","")=TRIM(E43),"OK","DIVERGE")</f>
        <v>OK</v>
      </c>
      <c r="H43" s="7" t="s">
        <v>40</v>
      </c>
      <c r="I43" s="9" t="n">
        <v>46721</v>
      </c>
      <c r="J43" s="8" t="n">
        <v>12.6</v>
      </c>
      <c r="K43" s="8" t="s">
        <v>41</v>
      </c>
      <c r="L43" s="8" t="s">
        <v>19</v>
      </c>
      <c r="M43" s="10"/>
      <c r="N43" s="11"/>
      <c r="O43" s="10"/>
    </row>
    <row r="44" customFormat="false" ht="15" hidden="false" customHeight="false" outlineLevel="0" collapsed="false">
      <c r="A44" s="7" t="s">
        <v>165</v>
      </c>
      <c r="B44" s="7" t="s">
        <v>166</v>
      </c>
      <c r="C44" s="8" t="s">
        <v>167</v>
      </c>
      <c r="D44" s="8" t="s">
        <v>37</v>
      </c>
      <c r="E44" s="7" t="s">
        <v>38</v>
      </c>
      <c r="F44" s="7" t="s">
        <v>39</v>
      </c>
      <c r="G44" s="8" t="str">
        <f aca="false">IF(SUBSTITUTE(F44,".","")=TRIM(E44),"OK","DIVERGE")</f>
        <v>OK</v>
      </c>
      <c r="H44" s="7" t="s">
        <v>40</v>
      </c>
      <c r="I44" s="9" t="n">
        <v>46721</v>
      </c>
      <c r="J44" s="8" t="n">
        <v>12.6</v>
      </c>
      <c r="K44" s="8" t="s">
        <v>41</v>
      </c>
      <c r="L44" s="8" t="s">
        <v>19</v>
      </c>
      <c r="M44" s="10"/>
      <c r="N44" s="11"/>
      <c r="O44" s="10"/>
    </row>
    <row r="45" customFormat="false" ht="15" hidden="false" customHeight="false" outlineLevel="0" collapsed="false">
      <c r="A45" s="7" t="s">
        <v>168</v>
      </c>
      <c r="B45" s="7" t="s">
        <v>169</v>
      </c>
      <c r="C45" s="8" t="s">
        <v>170</v>
      </c>
      <c r="D45" s="8" t="s">
        <v>37</v>
      </c>
      <c r="E45" s="7" t="s">
        <v>38</v>
      </c>
      <c r="F45" s="7" t="s">
        <v>39</v>
      </c>
      <c r="G45" s="8" t="str">
        <f aca="false">IF(SUBSTITUTE(F45,".","")=TRIM(E45),"OK","DIVERGE")</f>
        <v>OK</v>
      </c>
      <c r="H45" s="7" t="s">
        <v>40</v>
      </c>
      <c r="I45" s="9" t="n">
        <v>46721</v>
      </c>
      <c r="J45" s="8" t="n">
        <v>12.6</v>
      </c>
      <c r="K45" s="8" t="s">
        <v>41</v>
      </c>
      <c r="L45" s="8" t="s">
        <v>19</v>
      </c>
      <c r="M45" s="10"/>
      <c r="N45" s="11"/>
      <c r="O45" s="10"/>
    </row>
    <row r="46" customFormat="false" ht="15" hidden="false" customHeight="false" outlineLevel="0" collapsed="false">
      <c r="A46" s="7" t="s">
        <v>171</v>
      </c>
      <c r="B46" s="7" t="s">
        <v>172</v>
      </c>
      <c r="C46" s="8" t="s">
        <v>173</v>
      </c>
      <c r="D46" s="8" t="s">
        <v>37</v>
      </c>
      <c r="E46" s="7" t="s">
        <v>38</v>
      </c>
      <c r="F46" s="7" t="s">
        <v>39</v>
      </c>
      <c r="G46" s="8" t="str">
        <f aca="false">IF(SUBSTITUTE(F46,".","")=TRIM(E46),"OK","DIVERGE")</f>
        <v>OK</v>
      </c>
      <c r="H46" s="7" t="s">
        <v>40</v>
      </c>
      <c r="I46" s="9" t="n">
        <v>46721</v>
      </c>
      <c r="J46" s="8" t="n">
        <v>12.6</v>
      </c>
      <c r="K46" s="8" t="s">
        <v>41</v>
      </c>
      <c r="L46" s="8" t="s">
        <v>19</v>
      </c>
      <c r="M46" s="10"/>
      <c r="N46" s="11"/>
      <c r="O46" s="10"/>
    </row>
    <row r="47" customFormat="false" ht="15" hidden="false" customHeight="false" outlineLevel="0" collapsed="false">
      <c r="A47" s="7" t="s">
        <v>174</v>
      </c>
      <c r="B47" s="7" t="s">
        <v>175</v>
      </c>
      <c r="C47" s="8" t="s">
        <v>176</v>
      </c>
      <c r="D47" s="8" t="s">
        <v>37</v>
      </c>
      <c r="E47" s="7" t="s">
        <v>38</v>
      </c>
      <c r="F47" s="7" t="s">
        <v>39</v>
      </c>
      <c r="G47" s="8" t="str">
        <f aca="false">IF(SUBSTITUTE(F47,".","")=TRIM(E47),"OK","DIVERGE")</f>
        <v>OK</v>
      </c>
      <c r="H47" s="7" t="s">
        <v>40</v>
      </c>
      <c r="I47" s="9" t="n">
        <v>46721</v>
      </c>
      <c r="J47" s="8" t="n">
        <v>12.6</v>
      </c>
      <c r="K47" s="8" t="s">
        <v>41</v>
      </c>
      <c r="L47" s="8" t="s">
        <v>19</v>
      </c>
      <c r="M47" s="10"/>
      <c r="N47" s="11"/>
      <c r="O47" s="10"/>
    </row>
    <row r="48" customFormat="false" ht="15" hidden="false" customHeight="false" outlineLevel="0" collapsed="false">
      <c r="A48" s="7" t="s">
        <v>177</v>
      </c>
      <c r="B48" s="7" t="s">
        <v>178</v>
      </c>
      <c r="C48" s="8" t="s">
        <v>179</v>
      </c>
      <c r="D48" s="8" t="s">
        <v>37</v>
      </c>
      <c r="E48" s="7" t="s">
        <v>38</v>
      </c>
      <c r="F48" s="7" t="s">
        <v>39</v>
      </c>
      <c r="G48" s="8" t="str">
        <f aca="false">IF(SUBSTITUTE(F48,".","")=TRIM(E48),"OK","DIVERGE")</f>
        <v>OK</v>
      </c>
      <c r="H48" s="7" t="s">
        <v>40</v>
      </c>
      <c r="I48" s="9" t="n">
        <v>46721</v>
      </c>
      <c r="J48" s="8" t="n">
        <v>12.6</v>
      </c>
      <c r="K48" s="8" t="s">
        <v>41</v>
      </c>
      <c r="L48" s="8" t="s">
        <v>19</v>
      </c>
      <c r="M48" s="10"/>
      <c r="N48" s="11"/>
      <c r="O48" s="10"/>
    </row>
    <row r="49" customFormat="false" ht="15" hidden="false" customHeight="false" outlineLevel="0" collapsed="false">
      <c r="A49" s="7" t="s">
        <v>180</v>
      </c>
      <c r="B49" s="7" t="s">
        <v>181</v>
      </c>
      <c r="C49" s="8" t="s">
        <v>182</v>
      </c>
      <c r="D49" s="8" t="s">
        <v>37</v>
      </c>
      <c r="E49" s="7" t="s">
        <v>38</v>
      </c>
      <c r="F49" s="7" t="s">
        <v>39</v>
      </c>
      <c r="G49" s="8" t="str">
        <f aca="false">IF(SUBSTITUTE(F49,".","")=TRIM(E49),"OK","DIVERGE")</f>
        <v>OK</v>
      </c>
      <c r="H49" s="7" t="s">
        <v>40</v>
      </c>
      <c r="I49" s="9" t="n">
        <v>46721</v>
      </c>
      <c r="J49" s="8" t="n">
        <v>12.6</v>
      </c>
      <c r="K49" s="8" t="s">
        <v>41</v>
      </c>
      <c r="L49" s="8" t="s">
        <v>19</v>
      </c>
      <c r="M49" s="10"/>
      <c r="N49" s="11"/>
      <c r="O49" s="10"/>
    </row>
    <row r="50" customFormat="false" ht="15" hidden="false" customHeight="false" outlineLevel="0" collapsed="false">
      <c r="A50" s="7" t="s">
        <v>183</v>
      </c>
      <c r="B50" s="7" t="s">
        <v>184</v>
      </c>
      <c r="C50" s="8" t="s">
        <v>185</v>
      </c>
      <c r="D50" s="8" t="s">
        <v>37</v>
      </c>
      <c r="E50" s="7" t="s">
        <v>38</v>
      </c>
      <c r="F50" s="7" t="s">
        <v>39</v>
      </c>
      <c r="G50" s="8" t="str">
        <f aca="false">IF(SUBSTITUTE(F50,".","")=TRIM(E50),"OK","DIVERGE")</f>
        <v>OK</v>
      </c>
      <c r="H50" s="7" t="s">
        <v>40</v>
      </c>
      <c r="I50" s="9" t="n">
        <v>46721</v>
      </c>
      <c r="J50" s="8" t="n">
        <v>12.6</v>
      </c>
      <c r="K50" s="8" t="s">
        <v>41</v>
      </c>
      <c r="L50" s="8" t="s">
        <v>19</v>
      </c>
      <c r="M50" s="10"/>
      <c r="N50" s="11"/>
      <c r="O50" s="10"/>
    </row>
    <row r="51" customFormat="false" ht="15" hidden="false" customHeight="false" outlineLevel="0" collapsed="false">
      <c r="A51" s="7" t="s">
        <v>186</v>
      </c>
      <c r="B51" s="7" t="s">
        <v>187</v>
      </c>
      <c r="C51" s="8" t="s">
        <v>188</v>
      </c>
      <c r="D51" s="8" t="s">
        <v>37</v>
      </c>
      <c r="E51" s="7" t="s">
        <v>38</v>
      </c>
      <c r="F51" s="7" t="s">
        <v>39</v>
      </c>
      <c r="G51" s="8" t="str">
        <f aca="false">IF(SUBSTITUTE(F51,".","")=TRIM(E51),"OK","DIVERGE")</f>
        <v>OK</v>
      </c>
      <c r="H51" s="7" t="s">
        <v>40</v>
      </c>
      <c r="I51" s="9" t="n">
        <v>46721</v>
      </c>
      <c r="J51" s="8" t="n">
        <v>12.6</v>
      </c>
      <c r="K51" s="8" t="s">
        <v>41</v>
      </c>
      <c r="L51" s="8" t="s">
        <v>19</v>
      </c>
      <c r="M51" s="10"/>
      <c r="N51" s="11"/>
      <c r="O51" s="10"/>
    </row>
    <row r="52" customFormat="false" ht="15" hidden="false" customHeight="false" outlineLevel="0" collapsed="false">
      <c r="A52" s="7" t="s">
        <v>189</v>
      </c>
      <c r="B52" s="7" t="s">
        <v>190</v>
      </c>
      <c r="C52" s="8" t="s">
        <v>191</v>
      </c>
      <c r="D52" s="8" t="s">
        <v>37</v>
      </c>
      <c r="E52" s="7" t="s">
        <v>38</v>
      </c>
      <c r="F52" s="7" t="s">
        <v>39</v>
      </c>
      <c r="G52" s="8" t="str">
        <f aca="false">IF(SUBSTITUTE(F52,".","")=TRIM(E52),"OK","DIVERGE")</f>
        <v>OK</v>
      </c>
      <c r="H52" s="7" t="s">
        <v>40</v>
      </c>
      <c r="I52" s="9" t="n">
        <v>46721</v>
      </c>
      <c r="J52" s="8" t="n">
        <v>12.6</v>
      </c>
      <c r="K52" s="8" t="s">
        <v>41</v>
      </c>
      <c r="L52" s="8" t="s">
        <v>19</v>
      </c>
      <c r="M52" s="10"/>
      <c r="N52" s="11"/>
      <c r="O52" s="10"/>
    </row>
    <row r="53" customFormat="false" ht="15" hidden="false" customHeight="false" outlineLevel="0" collapsed="false">
      <c r="A53" s="7" t="s">
        <v>192</v>
      </c>
      <c r="B53" s="7" t="s">
        <v>193</v>
      </c>
      <c r="C53" s="8" t="s">
        <v>194</v>
      </c>
      <c r="D53" s="8" t="s">
        <v>37</v>
      </c>
      <c r="E53" s="7" t="s">
        <v>38</v>
      </c>
      <c r="F53" s="7" t="s">
        <v>39</v>
      </c>
      <c r="G53" s="8" t="str">
        <f aca="false">IF(SUBSTITUTE(F53,".","")=TRIM(E53),"OK","DIVERGE")</f>
        <v>OK</v>
      </c>
      <c r="H53" s="7" t="s">
        <v>40</v>
      </c>
      <c r="I53" s="9" t="n">
        <v>46721</v>
      </c>
      <c r="J53" s="8" t="n">
        <v>12.6</v>
      </c>
      <c r="K53" s="8" t="s">
        <v>41</v>
      </c>
      <c r="L53" s="8" t="s">
        <v>19</v>
      </c>
      <c r="M53" s="10"/>
      <c r="N53" s="11"/>
      <c r="O53" s="10"/>
    </row>
    <row r="54" customFormat="false" ht="15" hidden="false" customHeight="false" outlineLevel="0" collapsed="false">
      <c r="A54" s="7" t="s">
        <v>195</v>
      </c>
      <c r="B54" s="7" t="s">
        <v>196</v>
      </c>
      <c r="C54" s="8" t="s">
        <v>197</v>
      </c>
      <c r="D54" s="8" t="s">
        <v>37</v>
      </c>
      <c r="E54" s="7" t="s">
        <v>38</v>
      </c>
      <c r="F54" s="7" t="s">
        <v>39</v>
      </c>
      <c r="G54" s="8" t="str">
        <f aca="false">IF(SUBSTITUTE(F54,".","")=TRIM(E54),"OK","DIVERGE")</f>
        <v>OK</v>
      </c>
      <c r="H54" s="7" t="s">
        <v>40</v>
      </c>
      <c r="I54" s="9" t="n">
        <v>46721</v>
      </c>
      <c r="J54" s="8" t="n">
        <v>12.6</v>
      </c>
      <c r="K54" s="8" t="s">
        <v>41</v>
      </c>
      <c r="L54" s="8" t="s">
        <v>19</v>
      </c>
      <c r="M54" s="10"/>
      <c r="N54" s="11"/>
      <c r="O54" s="10"/>
    </row>
    <row r="55" customFormat="false" ht="15" hidden="false" customHeight="false" outlineLevel="0" collapsed="false">
      <c r="A55" s="7" t="s">
        <v>198</v>
      </c>
      <c r="B55" s="7" t="s">
        <v>199</v>
      </c>
      <c r="C55" s="8" t="s">
        <v>200</v>
      </c>
      <c r="D55" s="8" t="s">
        <v>37</v>
      </c>
      <c r="E55" s="7" t="s">
        <v>38</v>
      </c>
      <c r="F55" s="7" t="s">
        <v>39</v>
      </c>
      <c r="G55" s="8" t="str">
        <f aca="false">IF(SUBSTITUTE(F55,".","")=TRIM(E55),"OK","DIVERGE")</f>
        <v>OK</v>
      </c>
      <c r="H55" s="7" t="s">
        <v>40</v>
      </c>
      <c r="I55" s="9" t="n">
        <v>46721</v>
      </c>
      <c r="J55" s="8" t="n">
        <v>12.6</v>
      </c>
      <c r="K55" s="8" t="s">
        <v>41</v>
      </c>
      <c r="L55" s="8" t="s">
        <v>19</v>
      </c>
      <c r="M55" s="10"/>
      <c r="N55" s="11"/>
      <c r="O55" s="10"/>
    </row>
    <row r="56" customFormat="false" ht="15" hidden="false" customHeight="false" outlineLevel="0" collapsed="false">
      <c r="A56" s="7" t="s">
        <v>201</v>
      </c>
      <c r="B56" s="7" t="s">
        <v>202</v>
      </c>
      <c r="C56" s="8" t="s">
        <v>203</v>
      </c>
      <c r="D56" s="8" t="s">
        <v>37</v>
      </c>
      <c r="E56" s="7" t="s">
        <v>38</v>
      </c>
      <c r="F56" s="7" t="s">
        <v>39</v>
      </c>
      <c r="G56" s="8" t="str">
        <f aca="false">IF(SUBSTITUTE(F56,".","")=TRIM(E56),"OK","DIVERGE")</f>
        <v>OK</v>
      </c>
      <c r="H56" s="7" t="s">
        <v>40</v>
      </c>
      <c r="I56" s="9" t="n">
        <v>46721</v>
      </c>
      <c r="J56" s="8" t="n">
        <v>12.6</v>
      </c>
      <c r="K56" s="8" t="s">
        <v>41</v>
      </c>
      <c r="L56" s="8" t="s">
        <v>19</v>
      </c>
      <c r="M56" s="10"/>
      <c r="N56" s="11"/>
      <c r="O56" s="10"/>
    </row>
    <row r="57" customFormat="false" ht="15" hidden="false" customHeight="false" outlineLevel="0" collapsed="false">
      <c r="A57" s="7" t="s">
        <v>204</v>
      </c>
      <c r="B57" s="7" t="s">
        <v>205</v>
      </c>
      <c r="C57" s="8" t="s">
        <v>206</v>
      </c>
      <c r="D57" s="8" t="s">
        <v>37</v>
      </c>
      <c r="E57" s="7" t="s">
        <v>38</v>
      </c>
      <c r="F57" s="7" t="s">
        <v>39</v>
      </c>
      <c r="G57" s="8" t="str">
        <f aca="false">IF(SUBSTITUTE(F57,".","")=TRIM(E57),"OK","DIVERGE")</f>
        <v>OK</v>
      </c>
      <c r="H57" s="7" t="s">
        <v>40</v>
      </c>
      <c r="I57" s="9" t="n">
        <v>46721</v>
      </c>
      <c r="J57" s="8" t="n">
        <v>12.6</v>
      </c>
      <c r="K57" s="8" t="s">
        <v>41</v>
      </c>
      <c r="L57" s="8" t="s">
        <v>19</v>
      </c>
      <c r="M57" s="10"/>
      <c r="N57" s="11"/>
      <c r="O57" s="10"/>
    </row>
    <row r="58" customFormat="false" ht="15" hidden="false" customHeight="false" outlineLevel="0" collapsed="false">
      <c r="A58" s="7" t="s">
        <v>207</v>
      </c>
      <c r="B58" s="7" t="s">
        <v>208</v>
      </c>
      <c r="C58" s="8" t="s">
        <v>209</v>
      </c>
      <c r="D58" s="8" t="s">
        <v>37</v>
      </c>
      <c r="E58" s="7" t="s">
        <v>38</v>
      </c>
      <c r="F58" s="7" t="s">
        <v>39</v>
      </c>
      <c r="G58" s="8" t="str">
        <f aca="false">IF(SUBSTITUTE(F58,".","")=TRIM(E58),"OK","DIVERGE")</f>
        <v>OK</v>
      </c>
      <c r="H58" s="7" t="s">
        <v>40</v>
      </c>
      <c r="I58" s="9" t="n">
        <v>46721</v>
      </c>
      <c r="J58" s="8" t="n">
        <v>12.6</v>
      </c>
      <c r="K58" s="8" t="s">
        <v>41</v>
      </c>
      <c r="L58" s="8" t="s">
        <v>19</v>
      </c>
      <c r="M58" s="10"/>
      <c r="N58" s="11"/>
      <c r="O58" s="10"/>
    </row>
    <row r="59" customFormat="false" ht="15" hidden="false" customHeight="false" outlineLevel="0" collapsed="false">
      <c r="A59" s="7" t="s">
        <v>210</v>
      </c>
      <c r="B59" s="7" t="s">
        <v>211</v>
      </c>
      <c r="C59" s="8" t="s">
        <v>212</v>
      </c>
      <c r="D59" s="8" t="s">
        <v>37</v>
      </c>
      <c r="E59" s="7" t="s">
        <v>38</v>
      </c>
      <c r="F59" s="7" t="s">
        <v>39</v>
      </c>
      <c r="G59" s="8" t="str">
        <f aca="false">IF(SUBSTITUTE(F59,".","")=TRIM(E59),"OK","DIVERGE")</f>
        <v>OK</v>
      </c>
      <c r="H59" s="7" t="s">
        <v>40</v>
      </c>
      <c r="I59" s="9" t="n">
        <v>46721</v>
      </c>
      <c r="J59" s="8" t="n">
        <v>12.6</v>
      </c>
      <c r="K59" s="8" t="s">
        <v>41</v>
      </c>
      <c r="L59" s="8" t="s">
        <v>19</v>
      </c>
      <c r="M59" s="10"/>
      <c r="N59" s="11"/>
      <c r="O59" s="10"/>
    </row>
    <row r="60" customFormat="false" ht="15" hidden="false" customHeight="false" outlineLevel="0" collapsed="false">
      <c r="A60" s="7" t="s">
        <v>213</v>
      </c>
      <c r="B60" s="7" t="s">
        <v>214</v>
      </c>
      <c r="C60" s="8" t="s">
        <v>215</v>
      </c>
      <c r="D60" s="8" t="s">
        <v>37</v>
      </c>
      <c r="E60" s="7" t="s">
        <v>38</v>
      </c>
      <c r="F60" s="7" t="s">
        <v>39</v>
      </c>
      <c r="G60" s="8" t="str">
        <f aca="false">IF(SUBSTITUTE(F60,".","")=TRIM(E60),"OK","DIVERGE")</f>
        <v>OK</v>
      </c>
      <c r="H60" s="7" t="s">
        <v>40</v>
      </c>
      <c r="I60" s="9" t="n">
        <v>46721</v>
      </c>
      <c r="J60" s="8" t="n">
        <v>12.6</v>
      </c>
      <c r="K60" s="8" t="s">
        <v>41</v>
      </c>
      <c r="L60" s="8" t="s">
        <v>19</v>
      </c>
      <c r="M60" s="10"/>
      <c r="N60" s="11"/>
      <c r="O60" s="10"/>
    </row>
    <row r="61" customFormat="false" ht="15" hidden="false" customHeight="false" outlineLevel="0" collapsed="false">
      <c r="A61" s="7" t="s">
        <v>216</v>
      </c>
      <c r="B61" s="7" t="s">
        <v>217</v>
      </c>
      <c r="C61" s="8" t="s">
        <v>218</v>
      </c>
      <c r="D61" s="8" t="s">
        <v>37</v>
      </c>
      <c r="E61" s="7" t="s">
        <v>38</v>
      </c>
      <c r="F61" s="7" t="s">
        <v>39</v>
      </c>
      <c r="G61" s="8" t="str">
        <f aca="false">IF(SUBSTITUTE(F61,".","")=TRIM(E61),"OK","DIVERGE")</f>
        <v>OK</v>
      </c>
      <c r="H61" s="7" t="s">
        <v>40</v>
      </c>
      <c r="I61" s="9" t="n">
        <v>46721</v>
      </c>
      <c r="J61" s="8" t="n">
        <v>12.6</v>
      </c>
      <c r="K61" s="8" t="s">
        <v>41</v>
      </c>
      <c r="L61" s="8" t="s">
        <v>19</v>
      </c>
      <c r="M61" s="10"/>
      <c r="N61" s="11"/>
      <c r="O61" s="10"/>
    </row>
    <row r="62" customFormat="false" ht="15" hidden="false" customHeight="false" outlineLevel="0" collapsed="false">
      <c r="A62" s="7" t="s">
        <v>219</v>
      </c>
      <c r="B62" s="7" t="s">
        <v>220</v>
      </c>
      <c r="C62" s="8" t="s">
        <v>221</v>
      </c>
      <c r="D62" s="8" t="s">
        <v>37</v>
      </c>
      <c r="E62" s="7" t="s">
        <v>38</v>
      </c>
      <c r="F62" s="7" t="s">
        <v>39</v>
      </c>
      <c r="G62" s="8" t="str">
        <f aca="false">IF(SUBSTITUTE(F62,".","")=TRIM(E62),"OK","DIVERGE")</f>
        <v>OK</v>
      </c>
      <c r="H62" s="7" t="s">
        <v>40</v>
      </c>
      <c r="I62" s="9" t="n">
        <v>46721</v>
      </c>
      <c r="J62" s="8" t="n">
        <v>12.6</v>
      </c>
      <c r="K62" s="8" t="s">
        <v>41</v>
      </c>
      <c r="L62" s="8" t="s">
        <v>19</v>
      </c>
      <c r="M62" s="10"/>
      <c r="N62" s="11"/>
      <c r="O62" s="10"/>
    </row>
    <row r="63" customFormat="false" ht="15" hidden="false" customHeight="false" outlineLevel="0" collapsed="false">
      <c r="A63" s="7" t="s">
        <v>222</v>
      </c>
      <c r="B63" s="7" t="s">
        <v>223</v>
      </c>
      <c r="C63" s="8" t="s">
        <v>224</v>
      </c>
      <c r="D63" s="8" t="s">
        <v>37</v>
      </c>
      <c r="E63" s="7" t="s">
        <v>38</v>
      </c>
      <c r="F63" s="7" t="s">
        <v>39</v>
      </c>
      <c r="G63" s="8" t="str">
        <f aca="false">IF(SUBSTITUTE(F63,".","")=TRIM(E63),"OK","DIVERGE")</f>
        <v>OK</v>
      </c>
      <c r="H63" s="7" t="s">
        <v>40</v>
      </c>
      <c r="I63" s="9" t="n">
        <v>46721</v>
      </c>
      <c r="J63" s="8" t="n">
        <v>12.6</v>
      </c>
      <c r="K63" s="8" t="s">
        <v>41</v>
      </c>
      <c r="L63" s="8" t="s">
        <v>19</v>
      </c>
      <c r="M63" s="10"/>
      <c r="N63" s="11"/>
      <c r="O63" s="10"/>
    </row>
    <row r="64" customFormat="false" ht="15" hidden="false" customHeight="false" outlineLevel="0" collapsed="false">
      <c r="A64" s="7" t="s">
        <v>225</v>
      </c>
      <c r="B64" s="7" t="s">
        <v>226</v>
      </c>
      <c r="C64" s="8" t="s">
        <v>227</v>
      </c>
      <c r="D64" s="8" t="s">
        <v>37</v>
      </c>
      <c r="E64" s="7" t="s">
        <v>38</v>
      </c>
      <c r="F64" s="7" t="s">
        <v>39</v>
      </c>
      <c r="G64" s="8" t="str">
        <f aca="false">IF(SUBSTITUTE(F64,".","")=TRIM(E64),"OK","DIVERGE")</f>
        <v>OK</v>
      </c>
      <c r="H64" s="7" t="s">
        <v>40</v>
      </c>
      <c r="I64" s="9" t="n">
        <v>46721</v>
      </c>
      <c r="J64" s="8" t="n">
        <v>12.6</v>
      </c>
      <c r="K64" s="8" t="s">
        <v>41</v>
      </c>
      <c r="L64" s="8" t="s">
        <v>19</v>
      </c>
      <c r="M64" s="10"/>
      <c r="N64" s="11"/>
      <c r="O64" s="10"/>
    </row>
    <row r="65" customFormat="false" ht="15" hidden="false" customHeight="false" outlineLevel="0" collapsed="false">
      <c r="A65" s="7" t="s">
        <v>228</v>
      </c>
      <c r="B65" s="7" t="s">
        <v>229</v>
      </c>
      <c r="C65" s="8" t="s">
        <v>230</v>
      </c>
      <c r="D65" s="8" t="s">
        <v>37</v>
      </c>
      <c r="E65" s="7" t="s">
        <v>38</v>
      </c>
      <c r="F65" s="7" t="s">
        <v>39</v>
      </c>
      <c r="G65" s="8" t="str">
        <f aca="false">IF(SUBSTITUTE(F65,".","")=TRIM(E65),"OK","DIVERGE")</f>
        <v>OK</v>
      </c>
      <c r="H65" s="7" t="s">
        <v>40</v>
      </c>
      <c r="I65" s="9" t="n">
        <v>46721</v>
      </c>
      <c r="J65" s="8" t="n">
        <v>12.6</v>
      </c>
      <c r="K65" s="8" t="s">
        <v>41</v>
      </c>
      <c r="L65" s="8" t="s">
        <v>19</v>
      </c>
      <c r="M65" s="10"/>
      <c r="N65" s="11"/>
      <c r="O65" s="10"/>
    </row>
    <row r="66" customFormat="false" ht="15" hidden="false" customHeight="false" outlineLevel="0" collapsed="false">
      <c r="A66" s="7" t="s">
        <v>231</v>
      </c>
      <c r="B66" s="7" t="s">
        <v>232</v>
      </c>
      <c r="C66" s="8" t="s">
        <v>233</v>
      </c>
      <c r="D66" s="8" t="s">
        <v>37</v>
      </c>
      <c r="E66" s="7" t="s">
        <v>38</v>
      </c>
      <c r="F66" s="7" t="s">
        <v>39</v>
      </c>
      <c r="G66" s="8" t="str">
        <f aca="false">IF(SUBSTITUTE(F66,".","")=TRIM(E66),"OK","DIVERGE")</f>
        <v>OK</v>
      </c>
      <c r="H66" s="7" t="s">
        <v>40</v>
      </c>
      <c r="I66" s="9" t="n">
        <v>46721</v>
      </c>
      <c r="J66" s="8" t="n">
        <v>12.6</v>
      </c>
      <c r="K66" s="8" t="s">
        <v>41</v>
      </c>
      <c r="L66" s="8" t="s">
        <v>19</v>
      </c>
      <c r="M66" s="10"/>
      <c r="N66" s="11"/>
      <c r="O66" s="10"/>
    </row>
    <row r="67" customFormat="false" ht="15" hidden="false" customHeight="false" outlineLevel="0" collapsed="false">
      <c r="A67" s="7" t="s">
        <v>234</v>
      </c>
      <c r="B67" s="7" t="s">
        <v>235</v>
      </c>
      <c r="C67" s="8" t="s">
        <v>236</v>
      </c>
      <c r="D67" s="8" t="s">
        <v>37</v>
      </c>
      <c r="E67" s="7" t="s">
        <v>38</v>
      </c>
      <c r="F67" s="7" t="s">
        <v>39</v>
      </c>
      <c r="G67" s="8" t="str">
        <f aca="false">IF(SUBSTITUTE(F67,".","")=TRIM(E67),"OK","DIVERGE")</f>
        <v>OK</v>
      </c>
      <c r="H67" s="7" t="s">
        <v>40</v>
      </c>
      <c r="I67" s="9" t="n">
        <v>46721</v>
      </c>
      <c r="J67" s="8" t="n">
        <v>12.6</v>
      </c>
      <c r="K67" s="8" t="s">
        <v>41</v>
      </c>
      <c r="L67" s="8" t="s">
        <v>19</v>
      </c>
      <c r="M67" s="10"/>
      <c r="N67" s="11"/>
      <c r="O67" s="10"/>
    </row>
    <row r="68" customFormat="false" ht="15" hidden="false" customHeight="false" outlineLevel="0" collapsed="false">
      <c r="A68" s="7" t="s">
        <v>237</v>
      </c>
      <c r="B68" s="7" t="s">
        <v>238</v>
      </c>
      <c r="C68" s="8" t="s">
        <v>239</v>
      </c>
      <c r="D68" s="8" t="s">
        <v>37</v>
      </c>
      <c r="E68" s="7" t="s">
        <v>38</v>
      </c>
      <c r="F68" s="7" t="s">
        <v>39</v>
      </c>
      <c r="G68" s="8" t="str">
        <f aca="false">IF(SUBSTITUTE(F68,".","")=TRIM(E68),"OK","DIVERGE")</f>
        <v>OK</v>
      </c>
      <c r="H68" s="7" t="s">
        <v>40</v>
      </c>
      <c r="I68" s="9" t="n">
        <v>46721</v>
      </c>
      <c r="J68" s="8" t="n">
        <v>12.6</v>
      </c>
      <c r="K68" s="8" t="s">
        <v>41</v>
      </c>
      <c r="L68" s="8" t="s">
        <v>19</v>
      </c>
      <c r="M68" s="10"/>
      <c r="N68" s="11"/>
      <c r="O68" s="10"/>
    </row>
    <row r="69" customFormat="false" ht="15" hidden="false" customHeight="false" outlineLevel="0" collapsed="false">
      <c r="A69" s="7" t="s">
        <v>240</v>
      </c>
      <c r="B69" s="7" t="s">
        <v>241</v>
      </c>
      <c r="C69" s="8" t="s">
        <v>242</v>
      </c>
      <c r="D69" s="8" t="s">
        <v>37</v>
      </c>
      <c r="E69" s="7" t="s">
        <v>38</v>
      </c>
      <c r="F69" s="7" t="s">
        <v>39</v>
      </c>
      <c r="G69" s="8" t="str">
        <f aca="false">IF(SUBSTITUTE(F69,".","")=TRIM(E69),"OK","DIVERGE")</f>
        <v>OK</v>
      </c>
      <c r="H69" s="7" t="s">
        <v>40</v>
      </c>
      <c r="I69" s="9" t="n">
        <v>46721</v>
      </c>
      <c r="J69" s="8" t="n">
        <v>12.6</v>
      </c>
      <c r="K69" s="8" t="s">
        <v>41</v>
      </c>
      <c r="L69" s="8" t="s">
        <v>19</v>
      </c>
      <c r="M69" s="10"/>
      <c r="N69" s="11"/>
      <c r="O69" s="10"/>
    </row>
    <row r="70" customFormat="false" ht="15" hidden="false" customHeight="false" outlineLevel="0" collapsed="false">
      <c r="A70" s="7" t="s">
        <v>243</v>
      </c>
      <c r="B70" s="7" t="s">
        <v>244</v>
      </c>
      <c r="C70" s="8" t="s">
        <v>245</v>
      </c>
      <c r="D70" s="8" t="s">
        <v>37</v>
      </c>
      <c r="E70" s="7" t="s">
        <v>38</v>
      </c>
      <c r="F70" s="7" t="s">
        <v>39</v>
      </c>
      <c r="G70" s="8" t="str">
        <f aca="false">IF(SUBSTITUTE(F70,".","")=TRIM(E70),"OK","DIVERGE")</f>
        <v>OK</v>
      </c>
      <c r="H70" s="7" t="s">
        <v>40</v>
      </c>
      <c r="I70" s="9" t="n">
        <v>46721</v>
      </c>
      <c r="J70" s="8" t="n">
        <v>12.6</v>
      </c>
      <c r="K70" s="8" t="s">
        <v>41</v>
      </c>
      <c r="L70" s="8" t="s">
        <v>19</v>
      </c>
      <c r="M70" s="10"/>
      <c r="N70" s="11"/>
      <c r="O70" s="10"/>
    </row>
    <row r="71" customFormat="false" ht="15" hidden="false" customHeight="false" outlineLevel="0" collapsed="false">
      <c r="A71" s="7" t="s">
        <v>246</v>
      </c>
      <c r="B71" s="7" t="s">
        <v>247</v>
      </c>
      <c r="C71" s="8" t="s">
        <v>248</v>
      </c>
      <c r="D71" s="8" t="s">
        <v>37</v>
      </c>
      <c r="E71" s="7" t="s">
        <v>38</v>
      </c>
      <c r="F71" s="7" t="s">
        <v>39</v>
      </c>
      <c r="G71" s="8" t="str">
        <f aca="false">IF(SUBSTITUTE(F71,".","")=TRIM(E71),"OK","DIVERGE")</f>
        <v>OK</v>
      </c>
      <c r="H71" s="7" t="s">
        <v>40</v>
      </c>
      <c r="I71" s="9" t="n">
        <v>46721</v>
      </c>
      <c r="J71" s="8" t="n">
        <v>12.6</v>
      </c>
      <c r="K71" s="8" t="s">
        <v>41</v>
      </c>
      <c r="L71" s="8" t="s">
        <v>19</v>
      </c>
      <c r="M71" s="10"/>
      <c r="N71" s="11"/>
      <c r="O71" s="10"/>
    </row>
    <row r="72" customFormat="false" ht="15" hidden="false" customHeight="false" outlineLevel="0" collapsed="false">
      <c r="A72" s="7" t="s">
        <v>249</v>
      </c>
      <c r="B72" s="7" t="s">
        <v>250</v>
      </c>
      <c r="C72" s="8" t="s">
        <v>251</v>
      </c>
      <c r="D72" s="8" t="s">
        <v>37</v>
      </c>
      <c r="E72" s="7" t="s">
        <v>38</v>
      </c>
      <c r="F72" s="7" t="s">
        <v>39</v>
      </c>
      <c r="G72" s="8" t="str">
        <f aca="false">IF(SUBSTITUTE(F72,".","")=TRIM(E72),"OK","DIVERGE")</f>
        <v>OK</v>
      </c>
      <c r="H72" s="7" t="s">
        <v>40</v>
      </c>
      <c r="I72" s="9" t="n">
        <v>46721</v>
      </c>
      <c r="J72" s="8" t="n">
        <v>12.6</v>
      </c>
      <c r="K72" s="8" t="s">
        <v>41</v>
      </c>
      <c r="L72" s="8" t="s">
        <v>19</v>
      </c>
      <c r="M72" s="10"/>
      <c r="N72" s="11"/>
      <c r="O72" s="10"/>
    </row>
    <row r="73" customFormat="false" ht="15" hidden="false" customHeight="false" outlineLevel="0" collapsed="false">
      <c r="A73" s="7" t="s">
        <v>252</v>
      </c>
      <c r="B73" s="7" t="s">
        <v>253</v>
      </c>
      <c r="C73" s="8" t="s">
        <v>254</v>
      </c>
      <c r="D73" s="8" t="s">
        <v>37</v>
      </c>
      <c r="E73" s="7" t="s">
        <v>38</v>
      </c>
      <c r="F73" s="7" t="s">
        <v>39</v>
      </c>
      <c r="G73" s="8" t="str">
        <f aca="false">IF(SUBSTITUTE(F73,".","")=TRIM(E73),"OK","DIVERGE")</f>
        <v>OK</v>
      </c>
      <c r="H73" s="7" t="s">
        <v>40</v>
      </c>
      <c r="I73" s="9" t="n">
        <v>46721</v>
      </c>
      <c r="J73" s="8" t="n">
        <v>12.6</v>
      </c>
      <c r="K73" s="8" t="s">
        <v>41</v>
      </c>
      <c r="L73" s="8" t="s">
        <v>19</v>
      </c>
      <c r="M73" s="10"/>
      <c r="N73" s="11"/>
      <c r="O73" s="10"/>
    </row>
    <row r="74" customFormat="false" ht="15" hidden="false" customHeight="false" outlineLevel="0" collapsed="false">
      <c r="A74" s="7" t="s">
        <v>255</v>
      </c>
      <c r="B74" s="7" t="s">
        <v>256</v>
      </c>
      <c r="C74" s="8" t="s">
        <v>257</v>
      </c>
      <c r="D74" s="8" t="s">
        <v>37</v>
      </c>
      <c r="E74" s="7" t="s">
        <v>38</v>
      </c>
      <c r="F74" s="7" t="s">
        <v>39</v>
      </c>
      <c r="G74" s="8" t="str">
        <f aca="false">IF(SUBSTITUTE(F74,".","")=TRIM(E74),"OK","DIVERGE")</f>
        <v>OK</v>
      </c>
      <c r="H74" s="7" t="s">
        <v>40</v>
      </c>
      <c r="I74" s="9" t="n">
        <v>46721</v>
      </c>
      <c r="J74" s="8" t="n">
        <v>12.6</v>
      </c>
      <c r="K74" s="8" t="s">
        <v>41</v>
      </c>
      <c r="L74" s="8" t="s">
        <v>19</v>
      </c>
      <c r="M74" s="10"/>
      <c r="N74" s="11"/>
      <c r="O74" s="10"/>
    </row>
    <row r="75" customFormat="false" ht="15" hidden="false" customHeight="false" outlineLevel="0" collapsed="false">
      <c r="A75" s="7" t="s">
        <v>258</v>
      </c>
      <c r="B75" s="7" t="s">
        <v>259</v>
      </c>
      <c r="C75" s="8" t="s">
        <v>260</v>
      </c>
      <c r="D75" s="8" t="s">
        <v>37</v>
      </c>
      <c r="E75" s="7" t="s">
        <v>38</v>
      </c>
      <c r="F75" s="7" t="s">
        <v>39</v>
      </c>
      <c r="G75" s="8" t="str">
        <f aca="false">IF(SUBSTITUTE(F75,".","")=TRIM(E75),"OK","DIVERGE")</f>
        <v>OK</v>
      </c>
      <c r="H75" s="7" t="s">
        <v>40</v>
      </c>
      <c r="I75" s="9" t="n">
        <v>46721</v>
      </c>
      <c r="J75" s="8" t="n">
        <v>12.6</v>
      </c>
      <c r="K75" s="8" t="s">
        <v>41</v>
      </c>
      <c r="L75" s="8" t="s">
        <v>19</v>
      </c>
      <c r="M75" s="10"/>
      <c r="N75" s="11"/>
      <c r="O75" s="10"/>
    </row>
    <row r="76" customFormat="false" ht="15" hidden="false" customHeight="false" outlineLevel="0" collapsed="false">
      <c r="A76" s="7" t="s">
        <v>261</v>
      </c>
      <c r="B76" s="7" t="s">
        <v>262</v>
      </c>
      <c r="C76" s="8" t="s">
        <v>263</v>
      </c>
      <c r="D76" s="8" t="s">
        <v>37</v>
      </c>
      <c r="E76" s="7" t="s">
        <v>38</v>
      </c>
      <c r="F76" s="7" t="s">
        <v>39</v>
      </c>
      <c r="G76" s="8" t="str">
        <f aca="false">IF(SUBSTITUTE(F76,".","")=TRIM(E76),"OK","DIVERGE")</f>
        <v>OK</v>
      </c>
      <c r="H76" s="7" t="s">
        <v>40</v>
      </c>
      <c r="I76" s="9" t="n">
        <v>46721</v>
      </c>
      <c r="J76" s="8" t="n">
        <v>12.6</v>
      </c>
      <c r="K76" s="8" t="s">
        <v>41</v>
      </c>
      <c r="L76" s="8" t="s">
        <v>19</v>
      </c>
      <c r="M76" s="10"/>
      <c r="N76" s="11"/>
      <c r="O76" s="10"/>
    </row>
    <row r="77" customFormat="false" ht="15" hidden="false" customHeight="false" outlineLevel="0" collapsed="false">
      <c r="A77" s="7" t="s">
        <v>264</v>
      </c>
      <c r="B77" s="7" t="s">
        <v>265</v>
      </c>
      <c r="C77" s="8" t="s">
        <v>266</v>
      </c>
      <c r="D77" s="8" t="s">
        <v>37</v>
      </c>
      <c r="E77" s="7" t="s">
        <v>38</v>
      </c>
      <c r="F77" s="7" t="s">
        <v>39</v>
      </c>
      <c r="G77" s="8" t="str">
        <f aca="false">IF(SUBSTITUTE(F77,".","")=TRIM(E77),"OK","DIVERGE")</f>
        <v>OK</v>
      </c>
      <c r="H77" s="7" t="s">
        <v>40</v>
      </c>
      <c r="I77" s="9" t="n">
        <v>46721</v>
      </c>
      <c r="J77" s="8" t="n">
        <v>12.6</v>
      </c>
      <c r="K77" s="8" t="s">
        <v>41</v>
      </c>
      <c r="L77" s="8" t="s">
        <v>19</v>
      </c>
      <c r="M77" s="10"/>
      <c r="N77" s="11"/>
      <c r="O77" s="10"/>
    </row>
    <row r="78" customFormat="false" ht="15" hidden="false" customHeight="false" outlineLevel="0" collapsed="false">
      <c r="A78" s="7" t="s">
        <v>267</v>
      </c>
      <c r="B78" s="7" t="s">
        <v>268</v>
      </c>
      <c r="C78" s="8" t="s">
        <v>269</v>
      </c>
      <c r="D78" s="8" t="s">
        <v>37</v>
      </c>
      <c r="E78" s="7" t="s">
        <v>38</v>
      </c>
      <c r="F78" s="7" t="s">
        <v>39</v>
      </c>
      <c r="G78" s="8" t="str">
        <f aca="false">IF(SUBSTITUTE(F78,".","")=TRIM(E78),"OK","DIVERGE")</f>
        <v>OK</v>
      </c>
      <c r="H78" s="7" t="s">
        <v>40</v>
      </c>
      <c r="I78" s="9" t="n">
        <v>46721</v>
      </c>
      <c r="J78" s="8" t="n">
        <v>12.6</v>
      </c>
      <c r="K78" s="8" t="s">
        <v>41</v>
      </c>
      <c r="L78" s="8" t="s">
        <v>19</v>
      </c>
      <c r="M78" s="10"/>
      <c r="N78" s="11"/>
      <c r="O78" s="10"/>
    </row>
    <row r="79" customFormat="false" ht="15" hidden="false" customHeight="false" outlineLevel="0" collapsed="false">
      <c r="A79" s="7" t="s">
        <v>270</v>
      </c>
      <c r="B79" s="7" t="s">
        <v>271</v>
      </c>
      <c r="C79" s="8" t="s">
        <v>272</v>
      </c>
      <c r="D79" s="8" t="s">
        <v>37</v>
      </c>
      <c r="E79" s="7" t="s">
        <v>38</v>
      </c>
      <c r="F79" s="7" t="s">
        <v>39</v>
      </c>
      <c r="G79" s="8" t="str">
        <f aca="false">IF(SUBSTITUTE(F79,".","")=TRIM(E79),"OK","DIVERGE")</f>
        <v>OK</v>
      </c>
      <c r="H79" s="7" t="s">
        <v>40</v>
      </c>
      <c r="I79" s="9" t="n">
        <v>46721</v>
      </c>
      <c r="J79" s="8" t="n">
        <v>12.6</v>
      </c>
      <c r="K79" s="8" t="s">
        <v>41</v>
      </c>
      <c r="L79" s="8" t="s">
        <v>19</v>
      </c>
      <c r="M79" s="10"/>
      <c r="N79" s="11"/>
      <c r="O79" s="10"/>
    </row>
    <row r="80" customFormat="false" ht="15" hidden="false" customHeight="false" outlineLevel="0" collapsed="false">
      <c r="A80" s="7" t="s">
        <v>273</v>
      </c>
      <c r="B80" s="7" t="s">
        <v>274</v>
      </c>
      <c r="C80" s="8" t="s">
        <v>275</v>
      </c>
      <c r="D80" s="8" t="s">
        <v>37</v>
      </c>
      <c r="E80" s="7" t="s">
        <v>38</v>
      </c>
      <c r="F80" s="7" t="s">
        <v>39</v>
      </c>
      <c r="G80" s="8" t="str">
        <f aca="false">IF(SUBSTITUTE(F80,".","")=TRIM(E80),"OK","DIVERGE")</f>
        <v>OK</v>
      </c>
      <c r="H80" s="7" t="s">
        <v>40</v>
      </c>
      <c r="I80" s="9" t="n">
        <v>46721</v>
      </c>
      <c r="J80" s="8" t="n">
        <v>12.6</v>
      </c>
      <c r="K80" s="8" t="s">
        <v>41</v>
      </c>
      <c r="L80" s="8" t="s">
        <v>19</v>
      </c>
      <c r="M80" s="10"/>
      <c r="N80" s="11"/>
      <c r="O80" s="10"/>
    </row>
    <row r="81" customFormat="false" ht="15" hidden="false" customHeight="false" outlineLevel="0" collapsed="false">
      <c r="A81" s="7" t="s">
        <v>276</v>
      </c>
      <c r="B81" s="7" t="s">
        <v>277</v>
      </c>
      <c r="C81" s="8" t="s">
        <v>278</v>
      </c>
      <c r="D81" s="8" t="s">
        <v>37</v>
      </c>
      <c r="E81" s="7" t="s">
        <v>38</v>
      </c>
      <c r="F81" s="7" t="s">
        <v>39</v>
      </c>
      <c r="G81" s="8" t="str">
        <f aca="false">IF(SUBSTITUTE(F81,".","")=TRIM(E81),"OK","DIVERGE")</f>
        <v>OK</v>
      </c>
      <c r="H81" s="7" t="s">
        <v>40</v>
      </c>
      <c r="I81" s="9" t="n">
        <v>46721</v>
      </c>
      <c r="J81" s="8" t="n">
        <v>12.6</v>
      </c>
      <c r="K81" s="8" t="s">
        <v>41</v>
      </c>
      <c r="L81" s="8" t="s">
        <v>19</v>
      </c>
      <c r="M81" s="10"/>
      <c r="N81" s="11"/>
      <c r="O81" s="10"/>
    </row>
    <row r="82" customFormat="false" ht="15" hidden="false" customHeight="false" outlineLevel="0" collapsed="false">
      <c r="A82" s="7" t="s">
        <v>279</v>
      </c>
      <c r="B82" s="7" t="s">
        <v>280</v>
      </c>
      <c r="C82" s="8" t="s">
        <v>281</v>
      </c>
      <c r="D82" s="8" t="s">
        <v>37</v>
      </c>
      <c r="E82" s="7" t="s">
        <v>38</v>
      </c>
      <c r="F82" s="7" t="s">
        <v>39</v>
      </c>
      <c r="G82" s="8" t="str">
        <f aca="false">IF(SUBSTITUTE(F82,".","")=TRIM(E82),"OK","DIVERGE")</f>
        <v>OK</v>
      </c>
      <c r="H82" s="7" t="s">
        <v>40</v>
      </c>
      <c r="I82" s="9" t="n">
        <v>46721</v>
      </c>
      <c r="J82" s="8" t="n">
        <v>12.6</v>
      </c>
      <c r="K82" s="8" t="s">
        <v>41</v>
      </c>
      <c r="L82" s="8" t="s">
        <v>19</v>
      </c>
      <c r="M82" s="10"/>
      <c r="N82" s="11"/>
      <c r="O82" s="10"/>
    </row>
    <row r="83" customFormat="false" ht="15" hidden="false" customHeight="false" outlineLevel="0" collapsed="false">
      <c r="A83" s="7" t="s">
        <v>282</v>
      </c>
      <c r="B83" s="7" t="s">
        <v>283</v>
      </c>
      <c r="C83" s="8" t="s">
        <v>284</v>
      </c>
      <c r="D83" s="8" t="s">
        <v>37</v>
      </c>
      <c r="E83" s="7" t="s">
        <v>38</v>
      </c>
      <c r="F83" s="7" t="s">
        <v>39</v>
      </c>
      <c r="G83" s="8" t="str">
        <f aca="false">IF(SUBSTITUTE(F83,".","")=TRIM(E83),"OK","DIVERGE")</f>
        <v>OK</v>
      </c>
      <c r="H83" s="7" t="s">
        <v>40</v>
      </c>
      <c r="I83" s="9" t="n">
        <v>46721</v>
      </c>
      <c r="J83" s="8" t="n">
        <v>12.6</v>
      </c>
      <c r="K83" s="8" t="s">
        <v>41</v>
      </c>
      <c r="L83" s="8" t="s">
        <v>19</v>
      </c>
      <c r="M83" s="10"/>
      <c r="N83" s="11"/>
      <c r="O83" s="10"/>
    </row>
    <row r="84" customFormat="false" ht="15" hidden="false" customHeight="false" outlineLevel="0" collapsed="false">
      <c r="A84" s="7" t="s">
        <v>285</v>
      </c>
      <c r="B84" s="7" t="s">
        <v>286</v>
      </c>
      <c r="C84" s="8" t="s">
        <v>287</v>
      </c>
      <c r="D84" s="8" t="s">
        <v>37</v>
      </c>
      <c r="E84" s="7" t="s">
        <v>38</v>
      </c>
      <c r="F84" s="7" t="s">
        <v>39</v>
      </c>
      <c r="G84" s="8" t="str">
        <f aca="false">IF(SUBSTITUTE(F84,".","")=TRIM(E84),"OK","DIVERGE")</f>
        <v>OK</v>
      </c>
      <c r="H84" s="7" t="s">
        <v>40</v>
      </c>
      <c r="I84" s="9" t="n">
        <v>46721</v>
      </c>
      <c r="J84" s="8" t="n">
        <v>12.6</v>
      </c>
      <c r="K84" s="8" t="s">
        <v>41</v>
      </c>
      <c r="L84" s="8" t="s">
        <v>19</v>
      </c>
      <c r="M84" s="10"/>
      <c r="N84" s="11"/>
      <c r="O84" s="10"/>
    </row>
    <row r="85" customFormat="false" ht="15" hidden="false" customHeight="false" outlineLevel="0" collapsed="false">
      <c r="A85" s="7" t="s">
        <v>288</v>
      </c>
      <c r="B85" s="7" t="s">
        <v>289</v>
      </c>
      <c r="C85" s="8" t="s">
        <v>290</v>
      </c>
      <c r="D85" s="8" t="s">
        <v>37</v>
      </c>
      <c r="E85" s="7" t="s">
        <v>38</v>
      </c>
      <c r="F85" s="7" t="s">
        <v>39</v>
      </c>
      <c r="G85" s="8" t="str">
        <f aca="false">IF(SUBSTITUTE(F85,".","")=TRIM(E85),"OK","DIVERGE")</f>
        <v>OK</v>
      </c>
      <c r="H85" s="7" t="s">
        <v>40</v>
      </c>
      <c r="I85" s="9" t="n">
        <v>46721</v>
      </c>
      <c r="J85" s="8" t="n">
        <v>12.6</v>
      </c>
      <c r="K85" s="8" t="s">
        <v>41</v>
      </c>
      <c r="L85" s="8" t="s">
        <v>19</v>
      </c>
      <c r="M85" s="10"/>
      <c r="N85" s="11"/>
      <c r="O85" s="10"/>
    </row>
    <row r="86" customFormat="false" ht="15" hidden="false" customHeight="false" outlineLevel="0" collapsed="false">
      <c r="A86" s="7" t="s">
        <v>291</v>
      </c>
      <c r="B86" s="7" t="s">
        <v>292</v>
      </c>
      <c r="C86" s="8" t="s">
        <v>293</v>
      </c>
      <c r="D86" s="8" t="s">
        <v>37</v>
      </c>
      <c r="E86" s="7" t="s">
        <v>38</v>
      </c>
      <c r="F86" s="7" t="s">
        <v>39</v>
      </c>
      <c r="G86" s="8" t="str">
        <f aca="false">IF(SUBSTITUTE(F86,".","")=TRIM(E86),"OK","DIVERGE")</f>
        <v>OK</v>
      </c>
      <c r="H86" s="7" t="s">
        <v>40</v>
      </c>
      <c r="I86" s="9" t="n">
        <v>46721</v>
      </c>
      <c r="J86" s="8" t="n">
        <v>12.6</v>
      </c>
      <c r="K86" s="8" t="s">
        <v>41</v>
      </c>
      <c r="L86" s="8" t="s">
        <v>19</v>
      </c>
      <c r="M86" s="10"/>
      <c r="N86" s="11"/>
      <c r="O86" s="10"/>
    </row>
    <row r="87" customFormat="false" ht="15" hidden="false" customHeight="false" outlineLevel="0" collapsed="false">
      <c r="A87" s="7" t="s">
        <v>294</v>
      </c>
      <c r="B87" s="7" t="s">
        <v>295</v>
      </c>
      <c r="C87" s="8" t="s">
        <v>296</v>
      </c>
      <c r="D87" s="8" t="s">
        <v>37</v>
      </c>
      <c r="E87" s="7" t="s">
        <v>38</v>
      </c>
      <c r="F87" s="7" t="s">
        <v>39</v>
      </c>
      <c r="G87" s="8" t="str">
        <f aca="false">IF(SUBSTITUTE(F87,".","")=TRIM(E87),"OK","DIVERGE")</f>
        <v>OK</v>
      </c>
      <c r="H87" s="7" t="s">
        <v>40</v>
      </c>
      <c r="I87" s="9" t="n">
        <v>46721</v>
      </c>
      <c r="J87" s="8" t="n">
        <v>12.6</v>
      </c>
      <c r="K87" s="8" t="s">
        <v>41</v>
      </c>
      <c r="L87" s="8" t="s">
        <v>19</v>
      </c>
      <c r="M87" s="10"/>
      <c r="N87" s="11"/>
      <c r="O87" s="10"/>
    </row>
    <row r="88" customFormat="false" ht="15" hidden="false" customHeight="false" outlineLevel="0" collapsed="false">
      <c r="A88" s="7" t="s">
        <v>297</v>
      </c>
      <c r="B88" s="7" t="s">
        <v>298</v>
      </c>
      <c r="C88" s="8" t="s">
        <v>299</v>
      </c>
      <c r="D88" s="8" t="s">
        <v>37</v>
      </c>
      <c r="E88" s="7" t="s">
        <v>38</v>
      </c>
      <c r="F88" s="7" t="s">
        <v>39</v>
      </c>
      <c r="G88" s="8" t="str">
        <f aca="false">IF(SUBSTITUTE(F88,".","")=TRIM(E88),"OK","DIVERGE")</f>
        <v>OK</v>
      </c>
      <c r="H88" s="7" t="s">
        <v>40</v>
      </c>
      <c r="I88" s="9" t="n">
        <v>46721</v>
      </c>
      <c r="J88" s="8" t="n">
        <v>12.6</v>
      </c>
      <c r="K88" s="8" t="s">
        <v>41</v>
      </c>
      <c r="L88" s="8" t="s">
        <v>19</v>
      </c>
      <c r="M88" s="10"/>
      <c r="N88" s="11"/>
      <c r="O88" s="10"/>
    </row>
    <row r="89" customFormat="false" ht="15" hidden="false" customHeight="false" outlineLevel="0" collapsed="false">
      <c r="A89" s="7" t="s">
        <v>300</v>
      </c>
      <c r="B89" s="7" t="s">
        <v>301</v>
      </c>
      <c r="C89" s="8" t="s">
        <v>302</v>
      </c>
      <c r="D89" s="8" t="s">
        <v>37</v>
      </c>
      <c r="E89" s="7" t="s">
        <v>38</v>
      </c>
      <c r="F89" s="7" t="s">
        <v>39</v>
      </c>
      <c r="G89" s="8" t="str">
        <f aca="false">IF(SUBSTITUTE(F89,".","")=TRIM(E89),"OK","DIVERGE")</f>
        <v>OK</v>
      </c>
      <c r="H89" s="7" t="s">
        <v>40</v>
      </c>
      <c r="I89" s="9" t="n">
        <v>46721</v>
      </c>
      <c r="J89" s="8" t="n">
        <v>12.6</v>
      </c>
      <c r="K89" s="8" t="s">
        <v>41</v>
      </c>
      <c r="L89" s="8" t="s">
        <v>19</v>
      </c>
      <c r="M89" s="10"/>
      <c r="N89" s="11"/>
      <c r="O89" s="10"/>
    </row>
    <row r="90" customFormat="false" ht="15" hidden="false" customHeight="false" outlineLevel="0" collapsed="false">
      <c r="A90" s="7" t="s">
        <v>303</v>
      </c>
      <c r="B90" s="7" t="s">
        <v>304</v>
      </c>
      <c r="C90" s="8" t="s">
        <v>305</v>
      </c>
      <c r="D90" s="8" t="s">
        <v>37</v>
      </c>
      <c r="E90" s="7" t="s">
        <v>38</v>
      </c>
      <c r="F90" s="7" t="s">
        <v>39</v>
      </c>
      <c r="G90" s="8" t="str">
        <f aca="false">IF(SUBSTITUTE(F90,".","")=TRIM(E90),"OK","DIVERGE")</f>
        <v>OK</v>
      </c>
      <c r="H90" s="7" t="s">
        <v>40</v>
      </c>
      <c r="I90" s="9" t="n">
        <v>46721</v>
      </c>
      <c r="J90" s="8" t="n">
        <v>12.6</v>
      </c>
      <c r="K90" s="8" t="s">
        <v>41</v>
      </c>
      <c r="L90" s="8" t="s">
        <v>19</v>
      </c>
      <c r="M90" s="10"/>
      <c r="N90" s="11"/>
      <c r="O90" s="10"/>
    </row>
    <row r="91" customFormat="false" ht="15" hidden="false" customHeight="false" outlineLevel="0" collapsed="false">
      <c r="A91" s="7" t="s">
        <v>306</v>
      </c>
      <c r="B91" s="7" t="s">
        <v>307</v>
      </c>
      <c r="C91" s="8" t="s">
        <v>308</v>
      </c>
      <c r="D91" s="8" t="s">
        <v>37</v>
      </c>
      <c r="E91" s="7" t="s">
        <v>38</v>
      </c>
      <c r="F91" s="7" t="s">
        <v>39</v>
      </c>
      <c r="G91" s="8" t="str">
        <f aca="false">IF(SUBSTITUTE(F91,".","")=TRIM(E91),"OK","DIVERGE")</f>
        <v>OK</v>
      </c>
      <c r="H91" s="7" t="s">
        <v>40</v>
      </c>
      <c r="I91" s="9" t="n">
        <v>46721</v>
      </c>
      <c r="J91" s="8" t="n">
        <v>12.6</v>
      </c>
      <c r="K91" s="8" t="s">
        <v>41</v>
      </c>
      <c r="L91" s="8" t="s">
        <v>19</v>
      </c>
      <c r="M91" s="10"/>
      <c r="N91" s="11"/>
      <c r="O91" s="10"/>
    </row>
    <row r="92" customFormat="false" ht="15" hidden="false" customHeight="false" outlineLevel="0" collapsed="false">
      <c r="A92" s="7" t="s">
        <v>309</v>
      </c>
      <c r="B92" s="7" t="s">
        <v>310</v>
      </c>
      <c r="C92" s="8" t="s">
        <v>311</v>
      </c>
      <c r="D92" s="8" t="s">
        <v>37</v>
      </c>
      <c r="E92" s="7" t="s">
        <v>38</v>
      </c>
      <c r="F92" s="7" t="s">
        <v>39</v>
      </c>
      <c r="G92" s="8" t="str">
        <f aca="false">IF(SUBSTITUTE(F92,".","")=TRIM(E92),"OK","DIVERGE")</f>
        <v>OK</v>
      </c>
      <c r="H92" s="7" t="s">
        <v>40</v>
      </c>
      <c r="I92" s="9" t="n">
        <v>46721</v>
      </c>
      <c r="J92" s="8" t="n">
        <v>12.6</v>
      </c>
      <c r="K92" s="8" t="s">
        <v>41</v>
      </c>
      <c r="L92" s="8" t="s">
        <v>19</v>
      </c>
      <c r="M92" s="10"/>
      <c r="N92" s="11"/>
      <c r="O92" s="10"/>
    </row>
    <row r="93" customFormat="false" ht="15" hidden="false" customHeight="false" outlineLevel="0" collapsed="false">
      <c r="A93" s="7" t="s">
        <v>312</v>
      </c>
      <c r="B93" s="7" t="s">
        <v>313</v>
      </c>
      <c r="C93" s="8" t="s">
        <v>314</v>
      </c>
      <c r="D93" s="8" t="s">
        <v>37</v>
      </c>
      <c r="E93" s="7" t="s">
        <v>38</v>
      </c>
      <c r="F93" s="7" t="s">
        <v>39</v>
      </c>
      <c r="G93" s="8" t="str">
        <f aca="false">IF(SUBSTITUTE(F93,".","")=TRIM(E93),"OK","DIVERGE")</f>
        <v>OK</v>
      </c>
      <c r="H93" s="7" t="s">
        <v>40</v>
      </c>
      <c r="I93" s="9" t="n">
        <v>46721</v>
      </c>
      <c r="J93" s="8" t="n">
        <v>12.6</v>
      </c>
      <c r="K93" s="8" t="s">
        <v>41</v>
      </c>
      <c r="L93" s="8" t="s">
        <v>19</v>
      </c>
      <c r="M93" s="10"/>
      <c r="N93" s="11"/>
      <c r="O93" s="10"/>
    </row>
    <row r="94" customFormat="false" ht="15" hidden="false" customHeight="false" outlineLevel="0" collapsed="false">
      <c r="A94" s="7" t="s">
        <v>315</v>
      </c>
      <c r="B94" s="7" t="s">
        <v>316</v>
      </c>
      <c r="C94" s="8" t="s">
        <v>317</v>
      </c>
      <c r="D94" s="8" t="s">
        <v>37</v>
      </c>
      <c r="E94" s="7" t="s">
        <v>38</v>
      </c>
      <c r="F94" s="7" t="s">
        <v>39</v>
      </c>
      <c r="G94" s="8" t="str">
        <f aca="false">IF(SUBSTITUTE(F94,".","")=TRIM(E94),"OK","DIVERGE")</f>
        <v>OK</v>
      </c>
      <c r="H94" s="7" t="s">
        <v>40</v>
      </c>
      <c r="I94" s="9" t="n">
        <v>46721</v>
      </c>
      <c r="J94" s="8" t="n">
        <v>12.6</v>
      </c>
      <c r="K94" s="8" t="s">
        <v>41</v>
      </c>
      <c r="L94" s="8" t="s">
        <v>19</v>
      </c>
      <c r="M94" s="10"/>
      <c r="N94" s="11"/>
      <c r="O94" s="10"/>
    </row>
    <row r="95" customFormat="false" ht="15" hidden="false" customHeight="false" outlineLevel="0" collapsed="false">
      <c r="A95" s="7" t="s">
        <v>318</v>
      </c>
      <c r="B95" s="7" t="s">
        <v>319</v>
      </c>
      <c r="C95" s="8" t="s">
        <v>320</v>
      </c>
      <c r="D95" s="8" t="s">
        <v>37</v>
      </c>
      <c r="E95" s="7" t="s">
        <v>38</v>
      </c>
      <c r="F95" s="7" t="s">
        <v>39</v>
      </c>
      <c r="G95" s="8" t="str">
        <f aca="false">IF(SUBSTITUTE(F95,".","")=TRIM(E95),"OK","DIVERGE")</f>
        <v>OK</v>
      </c>
      <c r="H95" s="7" t="s">
        <v>40</v>
      </c>
      <c r="I95" s="9" t="n">
        <v>46721</v>
      </c>
      <c r="J95" s="8" t="n">
        <v>12.6</v>
      </c>
      <c r="K95" s="8" t="s">
        <v>41</v>
      </c>
      <c r="L95" s="8" t="s">
        <v>19</v>
      </c>
      <c r="M95" s="10"/>
      <c r="N95" s="11"/>
      <c r="O95" s="10"/>
    </row>
    <row r="96" customFormat="false" ht="15" hidden="false" customHeight="false" outlineLevel="0" collapsed="false">
      <c r="A96" s="7" t="s">
        <v>321</v>
      </c>
      <c r="B96" s="7" t="s">
        <v>322</v>
      </c>
      <c r="C96" s="8" t="s">
        <v>323</v>
      </c>
      <c r="D96" s="8" t="s">
        <v>37</v>
      </c>
      <c r="E96" s="7" t="s">
        <v>38</v>
      </c>
      <c r="F96" s="7" t="s">
        <v>39</v>
      </c>
      <c r="G96" s="8" t="str">
        <f aca="false">IF(SUBSTITUTE(F96,".","")=TRIM(E96),"OK","DIVERGE")</f>
        <v>OK</v>
      </c>
      <c r="H96" s="7" t="s">
        <v>40</v>
      </c>
      <c r="I96" s="9" t="n">
        <v>46721</v>
      </c>
      <c r="J96" s="8" t="n">
        <v>12.6</v>
      </c>
      <c r="K96" s="8" t="s">
        <v>41</v>
      </c>
      <c r="L96" s="8" t="s">
        <v>19</v>
      </c>
      <c r="M96" s="10"/>
      <c r="N96" s="11"/>
      <c r="O96" s="10"/>
    </row>
    <row r="97" customFormat="false" ht="15" hidden="false" customHeight="false" outlineLevel="0" collapsed="false">
      <c r="A97" s="7" t="s">
        <v>324</v>
      </c>
      <c r="B97" s="7" t="s">
        <v>325</v>
      </c>
      <c r="C97" s="8" t="s">
        <v>326</v>
      </c>
      <c r="D97" s="8" t="s">
        <v>37</v>
      </c>
      <c r="E97" s="7" t="s">
        <v>38</v>
      </c>
      <c r="F97" s="7" t="s">
        <v>39</v>
      </c>
      <c r="G97" s="8" t="str">
        <f aca="false">IF(SUBSTITUTE(F97,".","")=TRIM(E97),"OK","DIVERGE")</f>
        <v>OK</v>
      </c>
      <c r="H97" s="7" t="s">
        <v>40</v>
      </c>
      <c r="I97" s="9" t="n">
        <v>46721</v>
      </c>
      <c r="J97" s="8" t="n">
        <v>12.6</v>
      </c>
      <c r="K97" s="8" t="s">
        <v>41</v>
      </c>
      <c r="L97" s="8" t="s">
        <v>19</v>
      </c>
      <c r="M97" s="10"/>
      <c r="N97" s="11"/>
      <c r="O97" s="10"/>
    </row>
    <row r="98" customFormat="false" ht="15" hidden="false" customHeight="false" outlineLevel="0" collapsed="false">
      <c r="A98" s="7" t="s">
        <v>327</v>
      </c>
      <c r="B98" s="7" t="s">
        <v>328</v>
      </c>
      <c r="C98" s="8" t="s">
        <v>329</v>
      </c>
      <c r="D98" s="8" t="s">
        <v>37</v>
      </c>
      <c r="E98" s="7" t="s">
        <v>38</v>
      </c>
      <c r="F98" s="7" t="s">
        <v>39</v>
      </c>
      <c r="G98" s="8" t="str">
        <f aca="false">IF(SUBSTITUTE(F98,".","")=TRIM(E98),"OK","DIVERGE")</f>
        <v>OK</v>
      </c>
      <c r="H98" s="7" t="s">
        <v>40</v>
      </c>
      <c r="I98" s="9" t="n">
        <v>46721</v>
      </c>
      <c r="J98" s="8" t="n">
        <v>12.6</v>
      </c>
      <c r="K98" s="8" t="s">
        <v>41</v>
      </c>
      <c r="L98" s="8" t="s">
        <v>19</v>
      </c>
      <c r="M98" s="10"/>
      <c r="N98" s="11"/>
      <c r="O98" s="10"/>
    </row>
    <row r="99" customFormat="false" ht="15" hidden="false" customHeight="false" outlineLevel="0" collapsed="false">
      <c r="A99" s="7" t="s">
        <v>330</v>
      </c>
      <c r="B99" s="7" t="s">
        <v>331</v>
      </c>
      <c r="C99" s="8" t="s">
        <v>332</v>
      </c>
      <c r="D99" s="8" t="s">
        <v>37</v>
      </c>
      <c r="E99" s="7" t="s">
        <v>38</v>
      </c>
      <c r="F99" s="7" t="s">
        <v>39</v>
      </c>
      <c r="G99" s="8" t="str">
        <f aca="false">IF(SUBSTITUTE(F99,".","")=TRIM(E99),"OK","DIVERGE")</f>
        <v>OK</v>
      </c>
      <c r="H99" s="7" t="s">
        <v>40</v>
      </c>
      <c r="I99" s="9" t="n">
        <v>46721</v>
      </c>
      <c r="J99" s="8" t="n">
        <v>12.6</v>
      </c>
      <c r="K99" s="8" t="s">
        <v>41</v>
      </c>
      <c r="L99" s="8" t="s">
        <v>19</v>
      </c>
      <c r="M99" s="10"/>
      <c r="N99" s="11"/>
      <c r="O99" s="10"/>
    </row>
    <row r="100" customFormat="false" ht="15" hidden="false" customHeight="false" outlineLevel="0" collapsed="false">
      <c r="A100" s="7" t="s">
        <v>333</v>
      </c>
      <c r="B100" s="7" t="s">
        <v>334</v>
      </c>
      <c r="C100" s="8" t="s">
        <v>335</v>
      </c>
      <c r="D100" s="8" t="s">
        <v>37</v>
      </c>
      <c r="E100" s="7" t="s">
        <v>38</v>
      </c>
      <c r="F100" s="7" t="s">
        <v>39</v>
      </c>
      <c r="G100" s="8" t="str">
        <f aca="false">IF(SUBSTITUTE(F100,".","")=TRIM(E100),"OK","DIVERGE")</f>
        <v>OK</v>
      </c>
      <c r="H100" s="7" t="s">
        <v>40</v>
      </c>
      <c r="I100" s="9" t="n">
        <v>46721</v>
      </c>
      <c r="J100" s="8" t="n">
        <v>12.6</v>
      </c>
      <c r="K100" s="8" t="s">
        <v>41</v>
      </c>
      <c r="L100" s="8" t="s">
        <v>19</v>
      </c>
      <c r="M100" s="10"/>
      <c r="N100" s="11"/>
      <c r="O100" s="10"/>
    </row>
    <row r="101" customFormat="false" ht="15" hidden="false" customHeight="false" outlineLevel="0" collapsed="false">
      <c r="A101" s="7" t="s">
        <v>336</v>
      </c>
      <c r="B101" s="7" t="s">
        <v>337</v>
      </c>
      <c r="C101" s="8" t="s">
        <v>338</v>
      </c>
      <c r="D101" s="8" t="s">
        <v>37</v>
      </c>
      <c r="E101" s="7" t="s">
        <v>38</v>
      </c>
      <c r="F101" s="7" t="s">
        <v>39</v>
      </c>
      <c r="G101" s="8" t="str">
        <f aca="false">IF(SUBSTITUTE(F101,".","")=TRIM(E101),"OK","DIVERGE")</f>
        <v>OK</v>
      </c>
      <c r="H101" s="7" t="s">
        <v>40</v>
      </c>
      <c r="I101" s="9" t="n">
        <v>46721</v>
      </c>
      <c r="J101" s="8" t="n">
        <v>12.6</v>
      </c>
      <c r="K101" s="8" t="s">
        <v>41</v>
      </c>
      <c r="L101" s="8" t="s">
        <v>19</v>
      </c>
      <c r="M101" s="10"/>
      <c r="N101" s="11"/>
      <c r="O101" s="10"/>
    </row>
    <row r="102" customFormat="false" ht="15" hidden="false" customHeight="false" outlineLevel="0" collapsed="false">
      <c r="A102" s="7" t="s">
        <v>339</v>
      </c>
      <c r="B102" s="7" t="s">
        <v>340</v>
      </c>
      <c r="C102" s="8" t="s">
        <v>341</v>
      </c>
      <c r="D102" s="8" t="s">
        <v>37</v>
      </c>
      <c r="E102" s="7" t="s">
        <v>38</v>
      </c>
      <c r="F102" s="7" t="s">
        <v>39</v>
      </c>
      <c r="G102" s="8" t="str">
        <f aca="false">IF(SUBSTITUTE(F102,".","")=TRIM(E102),"OK","DIVERGE")</f>
        <v>OK</v>
      </c>
      <c r="H102" s="7" t="s">
        <v>40</v>
      </c>
      <c r="I102" s="9" t="n">
        <v>46721</v>
      </c>
      <c r="J102" s="8" t="n">
        <v>12.6</v>
      </c>
      <c r="K102" s="8" t="s">
        <v>41</v>
      </c>
      <c r="L102" s="8" t="s">
        <v>19</v>
      </c>
      <c r="M102" s="10"/>
      <c r="N102" s="11"/>
      <c r="O102" s="10"/>
    </row>
    <row r="103" customFormat="false" ht="15" hidden="false" customHeight="false" outlineLevel="0" collapsed="false">
      <c r="A103" s="7" t="s">
        <v>342</v>
      </c>
      <c r="B103" s="7" t="s">
        <v>343</v>
      </c>
      <c r="C103" s="8" t="s">
        <v>344</v>
      </c>
      <c r="D103" s="8" t="s">
        <v>37</v>
      </c>
      <c r="E103" s="7" t="s">
        <v>38</v>
      </c>
      <c r="F103" s="7" t="s">
        <v>39</v>
      </c>
      <c r="G103" s="8" t="str">
        <f aca="false">IF(SUBSTITUTE(F103,".","")=TRIM(E103),"OK","DIVERGE")</f>
        <v>OK</v>
      </c>
      <c r="H103" s="7" t="s">
        <v>40</v>
      </c>
      <c r="I103" s="9" t="n">
        <v>46721</v>
      </c>
      <c r="J103" s="8" t="n">
        <v>12.6</v>
      </c>
      <c r="K103" s="8" t="s">
        <v>41</v>
      </c>
      <c r="L103" s="8" t="s">
        <v>19</v>
      </c>
      <c r="M103" s="10"/>
      <c r="N103" s="11"/>
      <c r="O103" s="10"/>
    </row>
    <row r="104" customFormat="false" ht="15" hidden="false" customHeight="false" outlineLevel="0" collapsed="false">
      <c r="A104" s="7" t="s">
        <v>345</v>
      </c>
      <c r="B104" s="7" t="s">
        <v>346</v>
      </c>
      <c r="C104" s="8" t="s">
        <v>347</v>
      </c>
      <c r="D104" s="8" t="s">
        <v>37</v>
      </c>
      <c r="E104" s="7" t="s">
        <v>38</v>
      </c>
      <c r="F104" s="7" t="s">
        <v>39</v>
      </c>
      <c r="G104" s="8" t="str">
        <f aca="false">IF(SUBSTITUTE(F104,".","")=TRIM(E104),"OK","DIVERGE")</f>
        <v>OK</v>
      </c>
      <c r="H104" s="7" t="s">
        <v>40</v>
      </c>
      <c r="I104" s="9" t="n">
        <v>46721</v>
      </c>
      <c r="J104" s="8" t="n">
        <v>12.6</v>
      </c>
      <c r="K104" s="8" t="s">
        <v>41</v>
      </c>
      <c r="L104" s="8" t="s">
        <v>19</v>
      </c>
      <c r="M104" s="10"/>
      <c r="N104" s="11"/>
      <c r="O104" s="10"/>
    </row>
    <row r="105" customFormat="false" ht="15" hidden="false" customHeight="false" outlineLevel="0" collapsed="false">
      <c r="A105" s="7" t="s">
        <v>348</v>
      </c>
      <c r="B105" s="7" t="s">
        <v>349</v>
      </c>
      <c r="C105" s="8" t="s">
        <v>350</v>
      </c>
      <c r="D105" s="8" t="s">
        <v>37</v>
      </c>
      <c r="E105" s="7" t="s">
        <v>38</v>
      </c>
      <c r="F105" s="7" t="s">
        <v>39</v>
      </c>
      <c r="G105" s="8" t="str">
        <f aca="false">IF(SUBSTITUTE(F105,".","")=TRIM(E105),"OK","DIVERGE")</f>
        <v>OK</v>
      </c>
      <c r="H105" s="7" t="s">
        <v>40</v>
      </c>
      <c r="I105" s="9" t="n">
        <v>46721</v>
      </c>
      <c r="J105" s="8" t="n">
        <v>12.6</v>
      </c>
      <c r="K105" s="8" t="s">
        <v>41</v>
      </c>
      <c r="L105" s="8" t="s">
        <v>19</v>
      </c>
      <c r="M105" s="10"/>
      <c r="N105" s="11"/>
      <c r="O105" s="10"/>
    </row>
    <row r="106" customFormat="false" ht="15" hidden="false" customHeight="false" outlineLevel="0" collapsed="false">
      <c r="A106" s="7" t="s">
        <v>351</v>
      </c>
      <c r="B106" s="7" t="s">
        <v>352</v>
      </c>
      <c r="C106" s="8" t="s">
        <v>353</v>
      </c>
      <c r="D106" s="8" t="s">
        <v>37</v>
      </c>
      <c r="E106" s="7" t="s">
        <v>38</v>
      </c>
      <c r="F106" s="7" t="s">
        <v>39</v>
      </c>
      <c r="G106" s="8" t="str">
        <f aca="false">IF(SUBSTITUTE(F106,".","")=TRIM(E106),"OK","DIVERGE")</f>
        <v>OK</v>
      </c>
      <c r="H106" s="7" t="s">
        <v>40</v>
      </c>
      <c r="I106" s="9" t="n">
        <v>46721</v>
      </c>
      <c r="J106" s="8" t="n">
        <v>12.6</v>
      </c>
      <c r="K106" s="8" t="s">
        <v>41</v>
      </c>
      <c r="L106" s="8" t="s">
        <v>19</v>
      </c>
      <c r="M106" s="10"/>
      <c r="N106" s="11"/>
      <c r="O106" s="10"/>
    </row>
    <row r="107" customFormat="false" ht="15" hidden="false" customHeight="false" outlineLevel="0" collapsed="false">
      <c r="A107" s="7" t="s">
        <v>354</v>
      </c>
      <c r="B107" s="7" t="s">
        <v>355</v>
      </c>
      <c r="C107" s="8" t="s">
        <v>356</v>
      </c>
      <c r="D107" s="8" t="s">
        <v>37</v>
      </c>
      <c r="E107" s="7" t="s">
        <v>38</v>
      </c>
      <c r="F107" s="7" t="s">
        <v>39</v>
      </c>
      <c r="G107" s="8" t="str">
        <f aca="false">IF(SUBSTITUTE(F107,".","")=TRIM(E107),"OK","DIVERGE")</f>
        <v>OK</v>
      </c>
      <c r="H107" s="7" t="s">
        <v>40</v>
      </c>
      <c r="I107" s="9" t="n">
        <v>46721</v>
      </c>
      <c r="J107" s="8" t="n">
        <v>12.6</v>
      </c>
      <c r="K107" s="8" t="s">
        <v>41</v>
      </c>
      <c r="L107" s="8" t="s">
        <v>19</v>
      </c>
      <c r="M107" s="10"/>
      <c r="N107" s="11"/>
      <c r="O107" s="10"/>
    </row>
    <row r="108" customFormat="false" ht="15" hidden="false" customHeight="false" outlineLevel="0" collapsed="false">
      <c r="A108" s="7" t="s">
        <v>357</v>
      </c>
      <c r="B108" s="7" t="s">
        <v>358</v>
      </c>
      <c r="C108" s="8" t="s">
        <v>359</v>
      </c>
      <c r="D108" s="8" t="s">
        <v>37</v>
      </c>
      <c r="E108" s="7" t="s">
        <v>38</v>
      </c>
      <c r="F108" s="7" t="s">
        <v>39</v>
      </c>
      <c r="G108" s="8" t="str">
        <f aca="false">IF(SUBSTITUTE(F108,".","")=TRIM(E108),"OK","DIVERGE")</f>
        <v>OK</v>
      </c>
      <c r="H108" s="7" t="s">
        <v>40</v>
      </c>
      <c r="I108" s="9" t="n">
        <v>46721</v>
      </c>
      <c r="J108" s="8" t="n">
        <v>12.6</v>
      </c>
      <c r="K108" s="8" t="s">
        <v>41</v>
      </c>
      <c r="L108" s="8" t="s">
        <v>19</v>
      </c>
      <c r="M108" s="10"/>
      <c r="N108" s="11"/>
      <c r="O108" s="10"/>
    </row>
    <row r="109" customFormat="false" ht="15" hidden="false" customHeight="false" outlineLevel="0" collapsed="false">
      <c r="A109" s="7" t="s">
        <v>360</v>
      </c>
      <c r="B109" s="7" t="s">
        <v>361</v>
      </c>
      <c r="C109" s="8" t="s">
        <v>362</v>
      </c>
      <c r="D109" s="8" t="s">
        <v>37</v>
      </c>
      <c r="E109" s="7" t="s">
        <v>38</v>
      </c>
      <c r="F109" s="7" t="s">
        <v>39</v>
      </c>
      <c r="G109" s="8" t="str">
        <f aca="false">IF(SUBSTITUTE(F109,".","")=TRIM(E109),"OK","DIVERGE")</f>
        <v>OK</v>
      </c>
      <c r="H109" s="7" t="s">
        <v>40</v>
      </c>
      <c r="I109" s="9" t="n">
        <v>46721</v>
      </c>
      <c r="J109" s="8" t="n">
        <v>12.6</v>
      </c>
      <c r="K109" s="8" t="s">
        <v>41</v>
      </c>
      <c r="L109" s="8" t="s">
        <v>19</v>
      </c>
      <c r="M109" s="10"/>
      <c r="N109" s="11"/>
      <c r="O109" s="10"/>
    </row>
    <row r="110" customFormat="false" ht="15" hidden="false" customHeight="false" outlineLevel="0" collapsed="false">
      <c r="A110" s="7" t="s">
        <v>363</v>
      </c>
      <c r="B110" s="7" t="s">
        <v>364</v>
      </c>
      <c r="C110" s="8" t="s">
        <v>365</v>
      </c>
      <c r="D110" s="8" t="s">
        <v>37</v>
      </c>
      <c r="E110" s="7" t="s">
        <v>38</v>
      </c>
      <c r="F110" s="7" t="s">
        <v>39</v>
      </c>
      <c r="G110" s="8" t="str">
        <f aca="false">IF(SUBSTITUTE(F110,".","")=TRIM(E110),"OK","DIVERGE")</f>
        <v>OK</v>
      </c>
      <c r="H110" s="7" t="s">
        <v>40</v>
      </c>
      <c r="I110" s="9" t="n">
        <v>46721</v>
      </c>
      <c r="J110" s="8" t="n">
        <v>12.6</v>
      </c>
      <c r="K110" s="8" t="s">
        <v>41</v>
      </c>
      <c r="L110" s="8" t="s">
        <v>19</v>
      </c>
      <c r="M110" s="10"/>
      <c r="N110" s="11"/>
      <c r="O110" s="10"/>
    </row>
    <row r="111" customFormat="false" ht="15" hidden="false" customHeight="false" outlineLevel="0" collapsed="false">
      <c r="A111" s="7" t="s">
        <v>366</v>
      </c>
      <c r="B111" s="7" t="s">
        <v>367</v>
      </c>
      <c r="C111" s="8" t="s">
        <v>368</v>
      </c>
      <c r="D111" s="8" t="s">
        <v>37</v>
      </c>
      <c r="E111" s="7" t="s">
        <v>38</v>
      </c>
      <c r="F111" s="7" t="s">
        <v>39</v>
      </c>
      <c r="G111" s="8" t="str">
        <f aca="false">IF(SUBSTITUTE(F111,".","")=TRIM(E111),"OK","DIVERGE")</f>
        <v>OK</v>
      </c>
      <c r="H111" s="7" t="s">
        <v>40</v>
      </c>
      <c r="I111" s="9" t="n">
        <v>46721</v>
      </c>
      <c r="J111" s="8" t="n">
        <v>12.6</v>
      </c>
      <c r="K111" s="8" t="s">
        <v>41</v>
      </c>
      <c r="L111" s="8" t="s">
        <v>19</v>
      </c>
      <c r="M111" s="10"/>
      <c r="N111" s="11"/>
      <c r="O111" s="10"/>
    </row>
    <row r="112" customFormat="false" ht="15" hidden="false" customHeight="false" outlineLevel="0" collapsed="false">
      <c r="A112" s="7" t="s">
        <v>369</v>
      </c>
      <c r="B112" s="7" t="s">
        <v>370</v>
      </c>
      <c r="C112" s="8" t="s">
        <v>371</v>
      </c>
      <c r="D112" s="8" t="s">
        <v>37</v>
      </c>
      <c r="E112" s="7" t="s">
        <v>38</v>
      </c>
      <c r="F112" s="7" t="s">
        <v>39</v>
      </c>
      <c r="G112" s="8" t="str">
        <f aca="false">IF(SUBSTITUTE(F112,".","")=TRIM(E112),"OK","DIVERGE")</f>
        <v>OK</v>
      </c>
      <c r="H112" s="7" t="s">
        <v>40</v>
      </c>
      <c r="I112" s="9" t="n">
        <v>46721</v>
      </c>
      <c r="J112" s="8" t="n">
        <v>12.6</v>
      </c>
      <c r="K112" s="8" t="s">
        <v>41</v>
      </c>
      <c r="L112" s="8" t="s">
        <v>19</v>
      </c>
      <c r="M112" s="10"/>
      <c r="N112" s="11"/>
      <c r="O112" s="10"/>
    </row>
    <row r="113" customFormat="false" ht="15" hidden="false" customHeight="false" outlineLevel="0" collapsed="false">
      <c r="A113" s="7" t="s">
        <v>372</v>
      </c>
      <c r="B113" s="7" t="s">
        <v>373</v>
      </c>
      <c r="C113" s="8" t="s">
        <v>374</v>
      </c>
      <c r="D113" s="8" t="s">
        <v>37</v>
      </c>
      <c r="E113" s="7" t="s">
        <v>38</v>
      </c>
      <c r="F113" s="7" t="s">
        <v>39</v>
      </c>
      <c r="G113" s="8" t="str">
        <f aca="false">IF(SUBSTITUTE(F113,".","")=TRIM(E113),"OK","DIVERGE")</f>
        <v>OK</v>
      </c>
      <c r="H113" s="7" t="s">
        <v>40</v>
      </c>
      <c r="I113" s="9" t="n">
        <v>46721</v>
      </c>
      <c r="J113" s="8" t="n">
        <v>12.6</v>
      </c>
      <c r="K113" s="8" t="s">
        <v>41</v>
      </c>
      <c r="L113" s="8" t="s">
        <v>19</v>
      </c>
      <c r="M113" s="10"/>
      <c r="N113" s="11"/>
      <c r="O113" s="10"/>
    </row>
    <row r="114" customFormat="false" ht="15" hidden="false" customHeight="false" outlineLevel="0" collapsed="false">
      <c r="A114" s="7" t="s">
        <v>375</v>
      </c>
      <c r="B114" s="7" t="s">
        <v>376</v>
      </c>
      <c r="C114" s="8" t="s">
        <v>377</v>
      </c>
      <c r="D114" s="8" t="s">
        <v>37</v>
      </c>
      <c r="E114" s="7" t="s">
        <v>38</v>
      </c>
      <c r="F114" s="7" t="s">
        <v>39</v>
      </c>
      <c r="G114" s="8" t="str">
        <f aca="false">IF(SUBSTITUTE(F114,".","")=TRIM(E114),"OK","DIVERGE")</f>
        <v>OK</v>
      </c>
      <c r="H114" s="7" t="s">
        <v>40</v>
      </c>
      <c r="I114" s="9" t="n">
        <v>46721</v>
      </c>
      <c r="J114" s="8" t="n">
        <v>12.6</v>
      </c>
      <c r="K114" s="8" t="s">
        <v>41</v>
      </c>
      <c r="L114" s="8" t="s">
        <v>19</v>
      </c>
      <c r="M114" s="10"/>
      <c r="N114" s="11"/>
      <c r="O114" s="10"/>
    </row>
    <row r="115" customFormat="false" ht="15" hidden="false" customHeight="false" outlineLevel="0" collapsed="false">
      <c r="A115" s="7" t="s">
        <v>378</v>
      </c>
      <c r="B115" s="7" t="s">
        <v>379</v>
      </c>
      <c r="C115" s="8" t="s">
        <v>380</v>
      </c>
      <c r="D115" s="8" t="s">
        <v>37</v>
      </c>
      <c r="E115" s="7" t="s">
        <v>38</v>
      </c>
      <c r="F115" s="7" t="s">
        <v>39</v>
      </c>
      <c r="G115" s="8" t="str">
        <f aca="false">IF(SUBSTITUTE(F115,".","")=TRIM(E115),"OK","DIVERGE")</f>
        <v>OK</v>
      </c>
      <c r="H115" s="7" t="s">
        <v>40</v>
      </c>
      <c r="I115" s="9" t="n">
        <v>46721</v>
      </c>
      <c r="J115" s="8" t="n">
        <v>12.6</v>
      </c>
      <c r="K115" s="8" t="s">
        <v>41</v>
      </c>
      <c r="L115" s="8" t="s">
        <v>381</v>
      </c>
      <c r="M115" s="10"/>
      <c r="N115" s="11"/>
      <c r="O115" s="10"/>
    </row>
    <row r="116" customFormat="false" ht="15" hidden="false" customHeight="false" outlineLevel="0" collapsed="false">
      <c r="A116" s="7" t="s">
        <v>382</v>
      </c>
      <c r="B116" s="7" t="s">
        <v>383</v>
      </c>
      <c r="C116" s="8" t="s">
        <v>384</v>
      </c>
      <c r="D116" s="8" t="s">
        <v>385</v>
      </c>
      <c r="E116" s="7" t="s">
        <v>386</v>
      </c>
      <c r="F116" s="7" t="s">
        <v>387</v>
      </c>
      <c r="G116" s="8" t="str">
        <f aca="false">IF(SUBSTITUTE(F116,".","")=TRIM(E116),"OK","DIVERGE")</f>
        <v>OK</v>
      </c>
      <c r="H116" s="7" t="s">
        <v>388</v>
      </c>
      <c r="I116" s="9" t="n">
        <v>46721</v>
      </c>
      <c r="J116" s="8" t="n">
        <v>12.6</v>
      </c>
      <c r="K116" s="8" t="s">
        <v>41</v>
      </c>
      <c r="L116" s="8" t="s">
        <v>19</v>
      </c>
      <c r="M116" s="10"/>
      <c r="N116" s="11"/>
      <c r="O116" s="10"/>
    </row>
    <row r="117" customFormat="false" ht="15" hidden="false" customHeight="false" outlineLevel="0" collapsed="false">
      <c r="A117" s="7" t="s">
        <v>389</v>
      </c>
      <c r="B117" s="7" t="s">
        <v>390</v>
      </c>
      <c r="C117" s="8" t="s">
        <v>391</v>
      </c>
      <c r="D117" s="8" t="s">
        <v>385</v>
      </c>
      <c r="E117" s="7" t="s">
        <v>386</v>
      </c>
      <c r="F117" s="7" t="s">
        <v>387</v>
      </c>
      <c r="G117" s="8" t="str">
        <f aca="false">IF(SUBSTITUTE(F117,".","")=TRIM(E117),"OK","DIVERGE")</f>
        <v>OK</v>
      </c>
      <c r="H117" s="7" t="s">
        <v>388</v>
      </c>
      <c r="I117" s="9" t="n">
        <v>46721</v>
      </c>
      <c r="J117" s="8" t="n">
        <v>12.6</v>
      </c>
      <c r="K117" s="8" t="s">
        <v>41</v>
      </c>
      <c r="L117" s="8" t="s">
        <v>19</v>
      </c>
      <c r="M117" s="10"/>
      <c r="N117" s="11"/>
      <c r="O117" s="10"/>
    </row>
    <row r="118" customFormat="false" ht="15" hidden="false" customHeight="false" outlineLevel="0" collapsed="false">
      <c r="A118" s="7" t="s">
        <v>392</v>
      </c>
      <c r="B118" s="7" t="s">
        <v>393</v>
      </c>
      <c r="C118" s="8" t="s">
        <v>394</v>
      </c>
      <c r="D118" s="8" t="s">
        <v>385</v>
      </c>
      <c r="E118" s="7" t="s">
        <v>395</v>
      </c>
      <c r="F118" s="7" t="s">
        <v>396</v>
      </c>
      <c r="G118" s="8" t="str">
        <f aca="false">IF(SUBSTITUTE(F118,".","")=TRIM(E118),"OK","DIVERGE")</f>
        <v>OK</v>
      </c>
      <c r="H118" s="7" t="s">
        <v>397</v>
      </c>
      <c r="I118" s="9" t="n">
        <v>46721</v>
      </c>
      <c r="J118" s="8" t="n">
        <v>20</v>
      </c>
      <c r="K118" s="8" t="s">
        <v>41</v>
      </c>
      <c r="L118" s="8" t="s">
        <v>19</v>
      </c>
      <c r="M118" s="10"/>
      <c r="N118" s="11"/>
      <c r="O118" s="10"/>
    </row>
    <row r="119" customFormat="false" ht="15" hidden="false" customHeight="false" outlineLevel="0" collapsed="false">
      <c r="A119" s="7" t="s">
        <v>398</v>
      </c>
      <c r="B119" s="7" t="s">
        <v>399</v>
      </c>
      <c r="C119" s="8" t="s">
        <v>400</v>
      </c>
      <c r="D119" s="8" t="s">
        <v>385</v>
      </c>
      <c r="E119" s="7" t="s">
        <v>386</v>
      </c>
      <c r="F119" s="7" t="s">
        <v>387</v>
      </c>
      <c r="G119" s="8" t="str">
        <f aca="false">IF(SUBSTITUTE(F119,".","")=TRIM(E119),"OK","DIVERGE")</f>
        <v>OK</v>
      </c>
      <c r="H119" s="7" t="s">
        <v>388</v>
      </c>
      <c r="I119" s="9" t="n">
        <v>46721</v>
      </c>
      <c r="J119" s="8" t="n">
        <v>12.6</v>
      </c>
      <c r="K119" s="8" t="s">
        <v>41</v>
      </c>
      <c r="L119" s="8" t="s">
        <v>19</v>
      </c>
      <c r="M119" s="10"/>
      <c r="N119" s="11"/>
      <c r="O119" s="10"/>
    </row>
    <row r="120" customFormat="false" ht="15" hidden="false" customHeight="false" outlineLevel="0" collapsed="false">
      <c r="A120" s="7" t="s">
        <v>401</v>
      </c>
      <c r="B120" s="7" t="s">
        <v>402</v>
      </c>
      <c r="C120" s="8" t="s">
        <v>403</v>
      </c>
      <c r="D120" s="8" t="s">
        <v>385</v>
      </c>
      <c r="E120" s="7" t="s">
        <v>386</v>
      </c>
      <c r="F120" s="7" t="s">
        <v>387</v>
      </c>
      <c r="G120" s="8" t="str">
        <f aca="false">IF(SUBSTITUTE(F120,".","")=TRIM(E120),"OK","DIVERGE")</f>
        <v>OK</v>
      </c>
      <c r="H120" s="7" t="s">
        <v>388</v>
      </c>
      <c r="I120" s="9" t="n">
        <v>46721</v>
      </c>
      <c r="J120" s="8" t="n">
        <v>12.6</v>
      </c>
      <c r="K120" s="8" t="s">
        <v>41</v>
      </c>
      <c r="L120" s="8" t="s">
        <v>19</v>
      </c>
      <c r="M120" s="10"/>
      <c r="N120" s="11"/>
      <c r="O120" s="10"/>
    </row>
    <row r="121" customFormat="false" ht="15" hidden="false" customHeight="false" outlineLevel="0" collapsed="false">
      <c r="A121" s="7" t="s">
        <v>404</v>
      </c>
      <c r="B121" s="7" t="s">
        <v>405</v>
      </c>
      <c r="C121" s="8" t="s">
        <v>406</v>
      </c>
      <c r="D121" s="8" t="s">
        <v>385</v>
      </c>
      <c r="E121" s="7" t="s">
        <v>386</v>
      </c>
      <c r="F121" s="7" t="s">
        <v>387</v>
      </c>
      <c r="G121" s="8" t="str">
        <f aca="false">IF(SUBSTITUTE(F121,".","")=TRIM(E121),"OK","DIVERGE")</f>
        <v>OK</v>
      </c>
      <c r="H121" s="7" t="s">
        <v>388</v>
      </c>
      <c r="I121" s="9" t="n">
        <v>46721</v>
      </c>
      <c r="J121" s="8" t="n">
        <v>12.6</v>
      </c>
      <c r="K121" s="8" t="s">
        <v>41</v>
      </c>
      <c r="L121" s="8" t="s">
        <v>19</v>
      </c>
      <c r="M121" s="10"/>
      <c r="N121" s="11"/>
      <c r="O121" s="10"/>
    </row>
    <row r="122" customFormat="false" ht="15" hidden="false" customHeight="false" outlineLevel="0" collapsed="false">
      <c r="A122" s="7" t="s">
        <v>407</v>
      </c>
      <c r="B122" s="7" t="s">
        <v>408</v>
      </c>
      <c r="C122" s="8" t="s">
        <v>409</v>
      </c>
      <c r="D122" s="8" t="s">
        <v>385</v>
      </c>
      <c r="E122" s="7" t="s">
        <v>410</v>
      </c>
      <c r="F122" s="7" t="s">
        <v>396</v>
      </c>
      <c r="G122" s="8" t="str">
        <f aca="false">IF(SUBSTITUTE(F122,".","")=TRIM(E122),"OK","DIVERGE")</f>
        <v>DIVERGE</v>
      </c>
      <c r="H122" s="7" t="s">
        <v>397</v>
      </c>
      <c r="I122" s="9" t="n">
        <v>46721</v>
      </c>
      <c r="J122" s="8" t="n">
        <v>20</v>
      </c>
      <c r="K122" s="8" t="s">
        <v>41</v>
      </c>
      <c r="L122" s="8" t="s">
        <v>19</v>
      </c>
      <c r="M122" s="10"/>
      <c r="N122" s="11"/>
      <c r="O122" s="10"/>
    </row>
    <row r="123" customFormat="false" ht="15" hidden="false" customHeight="false" outlineLevel="0" collapsed="false">
      <c r="A123" s="7" t="s">
        <v>411</v>
      </c>
      <c r="B123" s="7" t="s">
        <v>412</v>
      </c>
      <c r="C123" s="8" t="s">
        <v>413</v>
      </c>
      <c r="D123" s="8" t="s">
        <v>385</v>
      </c>
      <c r="E123" s="7" t="s">
        <v>410</v>
      </c>
      <c r="F123" s="7" t="s">
        <v>396</v>
      </c>
      <c r="G123" s="8" t="str">
        <f aca="false">IF(SUBSTITUTE(F123,".","")=TRIM(E123),"OK","DIVERGE")</f>
        <v>DIVERGE</v>
      </c>
      <c r="H123" s="7" t="s">
        <v>397</v>
      </c>
      <c r="I123" s="9" t="n">
        <v>46721</v>
      </c>
      <c r="J123" s="8" t="n">
        <v>20</v>
      </c>
      <c r="K123" s="8" t="s">
        <v>41</v>
      </c>
      <c r="L123" s="8" t="s">
        <v>19</v>
      </c>
      <c r="M123" s="10"/>
      <c r="N123" s="11"/>
      <c r="O123" s="10"/>
    </row>
    <row r="124" customFormat="false" ht="15" hidden="false" customHeight="false" outlineLevel="0" collapsed="false">
      <c r="A124" s="7" t="s">
        <v>414</v>
      </c>
      <c r="B124" s="7" t="s">
        <v>415</v>
      </c>
      <c r="C124" s="8" t="s">
        <v>416</v>
      </c>
      <c r="D124" s="8" t="s">
        <v>385</v>
      </c>
      <c r="E124" s="7" t="s">
        <v>410</v>
      </c>
      <c r="F124" s="7" t="s">
        <v>396</v>
      </c>
      <c r="G124" s="8" t="str">
        <f aca="false">IF(SUBSTITUTE(F124,".","")=TRIM(E124),"OK","DIVERGE")</f>
        <v>DIVERGE</v>
      </c>
      <c r="H124" s="7" t="s">
        <v>397</v>
      </c>
      <c r="I124" s="9" t="n">
        <v>46721</v>
      </c>
      <c r="J124" s="8" t="n">
        <v>20</v>
      </c>
      <c r="K124" s="8" t="s">
        <v>41</v>
      </c>
      <c r="L124" s="8" t="s">
        <v>19</v>
      </c>
      <c r="M124" s="10"/>
      <c r="N124" s="11"/>
      <c r="O124" s="10"/>
    </row>
    <row r="125" customFormat="false" ht="15" hidden="false" customHeight="false" outlineLevel="0" collapsed="false">
      <c r="A125" s="7" t="s">
        <v>417</v>
      </c>
      <c r="B125" s="7" t="s">
        <v>418</v>
      </c>
      <c r="C125" s="8" t="s">
        <v>419</v>
      </c>
      <c r="D125" s="8" t="s">
        <v>385</v>
      </c>
      <c r="E125" s="7" t="s">
        <v>395</v>
      </c>
      <c r="F125" s="7" t="s">
        <v>396</v>
      </c>
      <c r="G125" s="8" t="str">
        <f aca="false">IF(SUBSTITUTE(F125,".","")=TRIM(E125),"OK","DIVERGE")</f>
        <v>OK</v>
      </c>
      <c r="H125" s="7" t="s">
        <v>397</v>
      </c>
      <c r="I125" s="9" t="n">
        <v>46721</v>
      </c>
      <c r="J125" s="8" t="n">
        <v>20</v>
      </c>
      <c r="K125" s="8" t="s">
        <v>41</v>
      </c>
      <c r="L125" s="8" t="s">
        <v>19</v>
      </c>
      <c r="M125" s="10"/>
      <c r="N125" s="11"/>
      <c r="O125" s="10"/>
    </row>
    <row r="126" customFormat="false" ht="15" hidden="false" customHeight="false" outlineLevel="0" collapsed="false">
      <c r="A126" s="7" t="s">
        <v>420</v>
      </c>
      <c r="B126" s="7" t="s">
        <v>421</v>
      </c>
      <c r="C126" s="8" t="s">
        <v>422</v>
      </c>
      <c r="D126" s="8" t="s">
        <v>385</v>
      </c>
      <c r="E126" s="7" t="s">
        <v>395</v>
      </c>
      <c r="F126" s="7" t="s">
        <v>396</v>
      </c>
      <c r="G126" s="8" t="str">
        <f aca="false">IF(SUBSTITUTE(F126,".","")=TRIM(E126),"OK","DIVERGE")</f>
        <v>OK</v>
      </c>
      <c r="H126" s="7" t="s">
        <v>397</v>
      </c>
      <c r="I126" s="9" t="n">
        <v>46721</v>
      </c>
      <c r="J126" s="8" t="n">
        <v>20</v>
      </c>
      <c r="K126" s="8" t="s">
        <v>41</v>
      </c>
      <c r="L126" s="8" t="s">
        <v>19</v>
      </c>
      <c r="M126" s="10"/>
      <c r="N126" s="11"/>
      <c r="O126" s="10"/>
    </row>
    <row r="127" customFormat="false" ht="15" hidden="false" customHeight="false" outlineLevel="0" collapsed="false">
      <c r="A127" s="7" t="s">
        <v>423</v>
      </c>
      <c r="B127" s="7" t="s">
        <v>424</v>
      </c>
      <c r="C127" s="8" t="s">
        <v>425</v>
      </c>
      <c r="D127" s="8" t="s">
        <v>385</v>
      </c>
      <c r="E127" s="7" t="s">
        <v>395</v>
      </c>
      <c r="F127" s="7" t="s">
        <v>396</v>
      </c>
      <c r="G127" s="8" t="str">
        <f aca="false">IF(SUBSTITUTE(F127,".","")=TRIM(E127),"OK","DIVERGE")</f>
        <v>OK</v>
      </c>
      <c r="H127" s="7" t="s">
        <v>397</v>
      </c>
      <c r="I127" s="9" t="n">
        <v>46721</v>
      </c>
      <c r="J127" s="8" t="n">
        <v>20</v>
      </c>
      <c r="K127" s="8" t="s">
        <v>41</v>
      </c>
      <c r="L127" s="8" t="s">
        <v>19</v>
      </c>
      <c r="M127" s="10"/>
      <c r="N127" s="11"/>
      <c r="O127" s="10"/>
    </row>
    <row r="128" customFormat="false" ht="15" hidden="false" customHeight="false" outlineLevel="0" collapsed="false">
      <c r="A128" s="7" t="s">
        <v>426</v>
      </c>
      <c r="B128" s="7" t="s">
        <v>427</v>
      </c>
      <c r="C128" s="8" t="s">
        <v>428</v>
      </c>
      <c r="D128" s="8" t="s">
        <v>385</v>
      </c>
      <c r="E128" s="7" t="s">
        <v>395</v>
      </c>
      <c r="F128" s="7" t="s">
        <v>396</v>
      </c>
      <c r="G128" s="8" t="str">
        <f aca="false">IF(SUBSTITUTE(F128,".","")=TRIM(E128),"OK","DIVERGE")</f>
        <v>OK</v>
      </c>
      <c r="H128" s="7" t="s">
        <v>397</v>
      </c>
      <c r="I128" s="9" t="n">
        <v>46721</v>
      </c>
      <c r="J128" s="8" t="n">
        <v>20</v>
      </c>
      <c r="K128" s="8" t="s">
        <v>41</v>
      </c>
      <c r="L128" s="8" t="s">
        <v>19</v>
      </c>
      <c r="M128" s="10"/>
      <c r="N128" s="11"/>
      <c r="O128" s="10"/>
    </row>
    <row r="129" customFormat="false" ht="15" hidden="false" customHeight="false" outlineLevel="0" collapsed="false">
      <c r="A129" s="7" t="s">
        <v>429</v>
      </c>
      <c r="B129" s="7" t="s">
        <v>430</v>
      </c>
      <c r="C129" s="8" t="s">
        <v>431</v>
      </c>
      <c r="D129" s="8" t="s">
        <v>385</v>
      </c>
      <c r="E129" s="7" t="s">
        <v>395</v>
      </c>
      <c r="F129" s="7" t="s">
        <v>396</v>
      </c>
      <c r="G129" s="8" t="str">
        <f aca="false">IF(SUBSTITUTE(F129,".","")=TRIM(E129),"OK","DIVERGE")</f>
        <v>OK</v>
      </c>
      <c r="H129" s="7" t="s">
        <v>397</v>
      </c>
      <c r="I129" s="9" t="n">
        <v>46721</v>
      </c>
      <c r="J129" s="8" t="n">
        <v>20</v>
      </c>
      <c r="K129" s="8" t="s">
        <v>41</v>
      </c>
      <c r="L129" s="8" t="s">
        <v>19</v>
      </c>
      <c r="M129" s="10"/>
      <c r="N129" s="11"/>
      <c r="O129" s="10"/>
    </row>
    <row r="130" customFormat="false" ht="15" hidden="false" customHeight="false" outlineLevel="0" collapsed="false">
      <c r="A130" s="7" t="s">
        <v>432</v>
      </c>
      <c r="B130" s="7" t="s">
        <v>433</v>
      </c>
      <c r="C130" s="8" t="s">
        <v>434</v>
      </c>
      <c r="D130" s="8" t="s">
        <v>385</v>
      </c>
      <c r="E130" s="7" t="s">
        <v>395</v>
      </c>
      <c r="F130" s="7" t="s">
        <v>396</v>
      </c>
      <c r="G130" s="8" t="str">
        <f aca="false">IF(SUBSTITUTE(F130,".","")=TRIM(E130),"OK","DIVERGE")</f>
        <v>OK</v>
      </c>
      <c r="H130" s="7" t="s">
        <v>397</v>
      </c>
      <c r="I130" s="9" t="n">
        <v>46721</v>
      </c>
      <c r="J130" s="8" t="n">
        <v>20</v>
      </c>
      <c r="K130" s="8" t="s">
        <v>41</v>
      </c>
      <c r="L130" s="8" t="s">
        <v>19</v>
      </c>
      <c r="M130" s="10"/>
      <c r="N130" s="11"/>
      <c r="O130" s="10"/>
    </row>
    <row r="131" customFormat="false" ht="15" hidden="false" customHeight="false" outlineLevel="0" collapsed="false">
      <c r="A131" s="7" t="s">
        <v>435</v>
      </c>
      <c r="B131" s="7" t="s">
        <v>436</v>
      </c>
      <c r="C131" s="8" t="s">
        <v>437</v>
      </c>
      <c r="D131" s="8" t="s">
        <v>385</v>
      </c>
      <c r="E131" s="7" t="s">
        <v>395</v>
      </c>
      <c r="F131" s="7" t="s">
        <v>396</v>
      </c>
      <c r="G131" s="8" t="str">
        <f aca="false">IF(SUBSTITUTE(F131,".","")=TRIM(E131),"OK","DIVERGE")</f>
        <v>OK</v>
      </c>
      <c r="H131" s="7" t="s">
        <v>397</v>
      </c>
      <c r="I131" s="9" t="n">
        <v>46721</v>
      </c>
      <c r="J131" s="8" t="n">
        <v>20</v>
      </c>
      <c r="K131" s="8" t="s">
        <v>41</v>
      </c>
      <c r="L131" s="8" t="s">
        <v>19</v>
      </c>
      <c r="M131" s="10"/>
      <c r="N131" s="11"/>
      <c r="O131" s="10"/>
    </row>
    <row r="132" customFormat="false" ht="15" hidden="false" customHeight="false" outlineLevel="0" collapsed="false">
      <c r="A132" s="7" t="s">
        <v>438</v>
      </c>
      <c r="B132" s="7" t="s">
        <v>439</v>
      </c>
      <c r="C132" s="8" t="s">
        <v>440</v>
      </c>
      <c r="D132" s="8" t="s">
        <v>385</v>
      </c>
      <c r="E132" s="7" t="s">
        <v>395</v>
      </c>
      <c r="F132" s="7" t="s">
        <v>396</v>
      </c>
      <c r="G132" s="8" t="str">
        <f aca="false">IF(SUBSTITUTE(F132,".","")=TRIM(E132),"OK","DIVERGE")</f>
        <v>OK</v>
      </c>
      <c r="H132" s="7" t="s">
        <v>397</v>
      </c>
      <c r="I132" s="9" t="n">
        <v>46721</v>
      </c>
      <c r="J132" s="8" t="n">
        <v>20</v>
      </c>
      <c r="K132" s="8" t="s">
        <v>41</v>
      </c>
      <c r="L132" s="8" t="s">
        <v>19</v>
      </c>
      <c r="M132" s="10"/>
      <c r="N132" s="11"/>
      <c r="O132" s="10"/>
    </row>
    <row r="133" customFormat="false" ht="15" hidden="false" customHeight="false" outlineLevel="0" collapsed="false">
      <c r="A133" s="7" t="s">
        <v>441</v>
      </c>
      <c r="B133" s="7" t="s">
        <v>442</v>
      </c>
      <c r="C133" s="8" t="s">
        <v>443</v>
      </c>
      <c r="D133" s="8" t="s">
        <v>385</v>
      </c>
      <c r="E133" s="7" t="s">
        <v>395</v>
      </c>
      <c r="F133" s="7" t="s">
        <v>396</v>
      </c>
      <c r="G133" s="8" t="str">
        <f aca="false">IF(SUBSTITUTE(F133,".","")=TRIM(E133),"OK","DIVERGE")</f>
        <v>OK</v>
      </c>
      <c r="H133" s="7" t="s">
        <v>397</v>
      </c>
      <c r="I133" s="9" t="n">
        <v>46721</v>
      </c>
      <c r="J133" s="8" t="n">
        <v>20</v>
      </c>
      <c r="K133" s="8" t="s">
        <v>41</v>
      </c>
      <c r="L133" s="8" t="s">
        <v>19</v>
      </c>
      <c r="M133" s="10"/>
      <c r="N133" s="11"/>
      <c r="O133" s="10"/>
    </row>
    <row r="134" customFormat="false" ht="15" hidden="false" customHeight="false" outlineLevel="0" collapsed="false">
      <c r="A134" s="7" t="s">
        <v>444</v>
      </c>
      <c r="B134" s="7" t="s">
        <v>445</v>
      </c>
      <c r="C134" s="8" t="s">
        <v>446</v>
      </c>
      <c r="D134" s="8" t="s">
        <v>385</v>
      </c>
      <c r="E134" s="7" t="s">
        <v>410</v>
      </c>
      <c r="F134" s="7" t="s">
        <v>396</v>
      </c>
      <c r="G134" s="8" t="str">
        <f aca="false">IF(SUBSTITUTE(F134,".","")=TRIM(E134),"OK","DIVERGE")</f>
        <v>DIVERGE</v>
      </c>
      <c r="H134" s="7" t="s">
        <v>397</v>
      </c>
      <c r="I134" s="9" t="n">
        <v>46721</v>
      </c>
      <c r="J134" s="8" t="n">
        <v>20</v>
      </c>
      <c r="K134" s="8" t="s">
        <v>41</v>
      </c>
      <c r="L134" s="8" t="s">
        <v>19</v>
      </c>
      <c r="M134" s="10"/>
      <c r="N134" s="11"/>
      <c r="O134" s="10"/>
    </row>
    <row r="135" customFormat="false" ht="15" hidden="false" customHeight="false" outlineLevel="0" collapsed="false">
      <c r="A135" s="7" t="s">
        <v>447</v>
      </c>
      <c r="B135" s="7" t="s">
        <v>448</v>
      </c>
      <c r="C135" s="8" t="s">
        <v>449</v>
      </c>
      <c r="D135" s="8" t="s">
        <v>385</v>
      </c>
      <c r="E135" s="7" t="s">
        <v>410</v>
      </c>
      <c r="F135" s="7" t="s">
        <v>396</v>
      </c>
      <c r="G135" s="8" t="str">
        <f aca="false">IF(SUBSTITUTE(F135,".","")=TRIM(E135),"OK","DIVERGE")</f>
        <v>DIVERGE</v>
      </c>
      <c r="H135" s="7" t="s">
        <v>397</v>
      </c>
      <c r="I135" s="9" t="n">
        <v>46721</v>
      </c>
      <c r="J135" s="8" t="n">
        <v>20</v>
      </c>
      <c r="K135" s="8" t="s">
        <v>41</v>
      </c>
      <c r="L135" s="8" t="s">
        <v>19</v>
      </c>
      <c r="M135" s="10"/>
      <c r="N135" s="11"/>
      <c r="O135" s="10"/>
    </row>
    <row r="136" customFormat="false" ht="15" hidden="false" customHeight="false" outlineLevel="0" collapsed="false">
      <c r="A136" s="7" t="s">
        <v>450</v>
      </c>
      <c r="B136" s="7" t="s">
        <v>451</v>
      </c>
      <c r="C136" s="8" t="s">
        <v>452</v>
      </c>
      <c r="D136" s="8" t="s">
        <v>385</v>
      </c>
      <c r="E136" s="7" t="s">
        <v>386</v>
      </c>
      <c r="F136" s="7" t="s">
        <v>387</v>
      </c>
      <c r="G136" s="8" t="str">
        <f aca="false">IF(SUBSTITUTE(F136,".","")=TRIM(E136),"OK","DIVERGE")</f>
        <v>OK</v>
      </c>
      <c r="H136" s="7" t="s">
        <v>388</v>
      </c>
      <c r="I136" s="9" t="n">
        <v>46721</v>
      </c>
      <c r="J136" s="8" t="n">
        <v>12.6</v>
      </c>
      <c r="K136" s="8" t="s">
        <v>41</v>
      </c>
      <c r="L136" s="8" t="s">
        <v>19</v>
      </c>
      <c r="M136" s="10"/>
      <c r="N136" s="11"/>
      <c r="O136" s="10"/>
    </row>
    <row r="137" customFormat="false" ht="15" hidden="false" customHeight="false" outlineLevel="0" collapsed="false">
      <c r="A137" s="7" t="s">
        <v>453</v>
      </c>
      <c r="B137" s="7" t="s">
        <v>454</v>
      </c>
      <c r="C137" s="8" t="s">
        <v>455</v>
      </c>
      <c r="D137" s="8" t="s">
        <v>385</v>
      </c>
      <c r="E137" s="7" t="s">
        <v>410</v>
      </c>
      <c r="F137" s="7" t="s">
        <v>396</v>
      </c>
      <c r="G137" s="8" t="str">
        <f aca="false">IF(SUBSTITUTE(F137,".","")=TRIM(E137),"OK","DIVERGE")</f>
        <v>DIVERGE</v>
      </c>
      <c r="H137" s="7" t="s">
        <v>397</v>
      </c>
      <c r="I137" s="9" t="n">
        <v>46721</v>
      </c>
      <c r="J137" s="8" t="n">
        <v>20</v>
      </c>
      <c r="K137" s="8" t="s">
        <v>41</v>
      </c>
      <c r="L137" s="8" t="s">
        <v>19</v>
      </c>
      <c r="M137" s="10"/>
      <c r="N137" s="11"/>
      <c r="O137" s="10"/>
    </row>
    <row r="138" customFormat="false" ht="15" hidden="false" customHeight="false" outlineLevel="0" collapsed="false">
      <c r="A138" s="7" t="s">
        <v>456</v>
      </c>
      <c r="B138" s="7" t="s">
        <v>457</v>
      </c>
      <c r="C138" s="8" t="s">
        <v>458</v>
      </c>
      <c r="D138" s="8" t="s">
        <v>385</v>
      </c>
      <c r="E138" s="7" t="s">
        <v>410</v>
      </c>
      <c r="F138" s="7" t="s">
        <v>396</v>
      </c>
      <c r="G138" s="8" t="str">
        <f aca="false">IF(SUBSTITUTE(F138,".","")=TRIM(E138),"OK","DIVERGE")</f>
        <v>DIVERGE</v>
      </c>
      <c r="H138" s="7" t="s">
        <v>397</v>
      </c>
      <c r="I138" s="9" t="n">
        <v>46721</v>
      </c>
      <c r="J138" s="8" t="n">
        <v>20</v>
      </c>
      <c r="K138" s="8" t="s">
        <v>41</v>
      </c>
      <c r="L138" s="8" t="s">
        <v>381</v>
      </c>
      <c r="M138" s="10"/>
      <c r="N138" s="11"/>
      <c r="O138" s="10"/>
    </row>
    <row r="139" customFormat="false" ht="15" hidden="false" customHeight="false" outlineLevel="0" collapsed="false">
      <c r="A139" s="7" t="s">
        <v>459</v>
      </c>
      <c r="B139" s="7" t="s">
        <v>460</v>
      </c>
      <c r="C139" s="8" t="s">
        <v>461</v>
      </c>
      <c r="D139" s="8" t="s">
        <v>385</v>
      </c>
      <c r="E139" s="7" t="s">
        <v>462</v>
      </c>
      <c r="F139" s="7" t="s">
        <v>396</v>
      </c>
      <c r="G139" s="8" t="str">
        <f aca="false">IF(SUBSTITUTE(F139,".","")=TRIM(E139),"OK","DIVERGE")</f>
        <v>DIVERGE</v>
      </c>
      <c r="H139" s="7" t="s">
        <v>397</v>
      </c>
      <c r="I139" s="9" t="n">
        <v>46721</v>
      </c>
      <c r="J139" s="8" t="n">
        <v>20</v>
      </c>
      <c r="K139" s="8" t="s">
        <v>41</v>
      </c>
      <c r="L139" s="8" t="s">
        <v>19</v>
      </c>
      <c r="M139" s="10"/>
      <c r="N139" s="11"/>
      <c r="O139" s="10"/>
    </row>
    <row r="140" customFormat="false" ht="15" hidden="false" customHeight="false" outlineLevel="0" collapsed="false">
      <c r="A140" s="7" t="s">
        <v>463</v>
      </c>
      <c r="B140" s="7" t="s">
        <v>464</v>
      </c>
      <c r="C140" s="8" t="s">
        <v>465</v>
      </c>
      <c r="D140" s="8" t="s">
        <v>466</v>
      </c>
      <c r="E140" s="7" t="s">
        <v>38</v>
      </c>
      <c r="F140" s="7" t="s">
        <v>39</v>
      </c>
      <c r="G140" s="8" t="str">
        <f aca="false">IF(SUBSTITUTE(F140,".","")=TRIM(E140),"OK","DIVERGE")</f>
        <v>OK</v>
      </c>
      <c r="H140" s="7" t="s">
        <v>40</v>
      </c>
      <c r="I140" s="9" t="n">
        <v>46721</v>
      </c>
      <c r="J140" s="8" t="n">
        <v>12.6</v>
      </c>
      <c r="K140" s="8" t="s">
        <v>41</v>
      </c>
      <c r="L140" s="8" t="s">
        <v>19</v>
      </c>
      <c r="M140" s="10"/>
      <c r="N140" s="11"/>
      <c r="O140" s="10"/>
    </row>
    <row r="141" customFormat="false" ht="15" hidden="false" customHeight="false" outlineLevel="0" collapsed="false">
      <c r="A141" s="7" t="s">
        <v>467</v>
      </c>
      <c r="B141" s="7"/>
      <c r="C141" s="8" t="s">
        <v>468</v>
      </c>
      <c r="D141" s="8" t="s">
        <v>466</v>
      </c>
      <c r="E141" s="7" t="s">
        <v>38</v>
      </c>
      <c r="F141" s="7" t="s">
        <v>39</v>
      </c>
      <c r="G141" s="8" t="str">
        <f aca="false">IF(SUBSTITUTE(F141,".","")=TRIM(E141),"OK","DIVERGE")</f>
        <v>OK</v>
      </c>
      <c r="H141" s="7" t="s">
        <v>40</v>
      </c>
      <c r="I141" s="9" t="n">
        <v>46721</v>
      </c>
      <c r="J141" s="8" t="n">
        <v>12.6</v>
      </c>
      <c r="K141" s="8" t="s">
        <v>41</v>
      </c>
      <c r="L141" s="8" t="s">
        <v>19</v>
      </c>
      <c r="M141" s="10"/>
      <c r="N141" s="11"/>
      <c r="O141" s="10"/>
    </row>
    <row r="142" customFormat="false" ht="15" hidden="false" customHeight="false" outlineLevel="0" collapsed="false">
      <c r="A142" s="7" t="s">
        <v>469</v>
      </c>
      <c r="B142" s="7"/>
      <c r="C142" s="8" t="s">
        <v>470</v>
      </c>
      <c r="D142" s="8" t="s">
        <v>466</v>
      </c>
      <c r="E142" s="7" t="s">
        <v>38</v>
      </c>
      <c r="F142" s="7" t="s">
        <v>39</v>
      </c>
      <c r="G142" s="8" t="str">
        <f aca="false">IF(SUBSTITUTE(F142,".","")=TRIM(E142),"OK","DIVERGE")</f>
        <v>OK</v>
      </c>
      <c r="H142" s="7" t="s">
        <v>40</v>
      </c>
      <c r="I142" s="9" t="n">
        <v>46721</v>
      </c>
      <c r="J142" s="8" t="n">
        <v>12.6</v>
      </c>
      <c r="K142" s="8" t="s">
        <v>41</v>
      </c>
      <c r="L142" s="8" t="s">
        <v>19</v>
      </c>
      <c r="M142" s="10"/>
      <c r="N142" s="11"/>
      <c r="O142" s="10"/>
    </row>
    <row r="143" customFormat="false" ht="15" hidden="false" customHeight="false" outlineLevel="0" collapsed="false">
      <c r="A143" s="7" t="s">
        <v>471</v>
      </c>
      <c r="B143" s="7"/>
      <c r="C143" s="8" t="s">
        <v>472</v>
      </c>
      <c r="D143" s="8" t="s">
        <v>466</v>
      </c>
      <c r="E143" s="7" t="s">
        <v>38</v>
      </c>
      <c r="F143" s="7" t="s">
        <v>39</v>
      </c>
      <c r="G143" s="8" t="str">
        <f aca="false">IF(SUBSTITUTE(F143,".","")=TRIM(E143),"OK","DIVERGE")</f>
        <v>OK</v>
      </c>
      <c r="H143" s="7" t="s">
        <v>40</v>
      </c>
      <c r="I143" s="9" t="n">
        <v>46721</v>
      </c>
      <c r="J143" s="8" t="n">
        <v>12.6</v>
      </c>
      <c r="K143" s="8" t="s">
        <v>41</v>
      </c>
      <c r="L143" s="8" t="s">
        <v>19</v>
      </c>
      <c r="M143" s="10"/>
      <c r="N143" s="11"/>
      <c r="O143" s="10"/>
    </row>
    <row r="144" customFormat="false" ht="15" hidden="false" customHeight="false" outlineLevel="0" collapsed="false">
      <c r="A144" s="7" t="s">
        <v>473</v>
      </c>
      <c r="B144" s="7"/>
      <c r="C144" s="8" t="s">
        <v>474</v>
      </c>
      <c r="D144" s="8" t="s">
        <v>466</v>
      </c>
      <c r="E144" s="7" t="s">
        <v>38</v>
      </c>
      <c r="F144" s="7" t="s">
        <v>39</v>
      </c>
      <c r="G144" s="8" t="str">
        <f aca="false">IF(SUBSTITUTE(F144,".","")=TRIM(E144),"OK","DIVERGE")</f>
        <v>OK</v>
      </c>
      <c r="H144" s="7" t="s">
        <v>40</v>
      </c>
      <c r="I144" s="9" t="n">
        <v>46721</v>
      </c>
      <c r="J144" s="8" t="n">
        <v>12.6</v>
      </c>
      <c r="K144" s="8" t="s">
        <v>41</v>
      </c>
      <c r="L144" s="8" t="s">
        <v>19</v>
      </c>
      <c r="M144" s="10"/>
      <c r="N144" s="11"/>
      <c r="O144" s="10"/>
    </row>
    <row r="145" customFormat="false" ht="15" hidden="false" customHeight="false" outlineLevel="0" collapsed="false">
      <c r="A145" s="7" t="s">
        <v>475</v>
      </c>
      <c r="B145" s="7"/>
      <c r="C145" s="8" t="s">
        <v>476</v>
      </c>
      <c r="D145" s="8" t="s">
        <v>466</v>
      </c>
      <c r="E145" s="7" t="s">
        <v>38</v>
      </c>
      <c r="F145" s="7" t="s">
        <v>39</v>
      </c>
      <c r="G145" s="8" t="str">
        <f aca="false">IF(SUBSTITUTE(F145,".","")=TRIM(E145),"OK","DIVERGE")</f>
        <v>OK</v>
      </c>
      <c r="H145" s="7" t="s">
        <v>40</v>
      </c>
      <c r="I145" s="9" t="n">
        <v>46721</v>
      </c>
      <c r="J145" s="8" t="n">
        <v>12.6</v>
      </c>
      <c r="K145" s="8" t="s">
        <v>41</v>
      </c>
      <c r="L145" s="8" t="s">
        <v>19</v>
      </c>
      <c r="M145" s="10"/>
      <c r="N145" s="11"/>
      <c r="O145" s="10"/>
    </row>
    <row r="146" customFormat="false" ht="15" hidden="false" customHeight="false" outlineLevel="0" collapsed="false">
      <c r="A146" s="7" t="s">
        <v>477</v>
      </c>
      <c r="B146" s="7" t="s">
        <v>478</v>
      </c>
      <c r="C146" s="8" t="s">
        <v>479</v>
      </c>
      <c r="D146" s="8" t="s">
        <v>480</v>
      </c>
      <c r="E146" s="7" t="s">
        <v>38</v>
      </c>
      <c r="F146" s="7" t="s">
        <v>39</v>
      </c>
      <c r="G146" s="8" t="str">
        <f aca="false">IF(SUBSTITUTE(F146,".","")=TRIM(E146),"OK","DIVERGE")</f>
        <v>OK</v>
      </c>
      <c r="H146" s="7" t="s">
        <v>481</v>
      </c>
      <c r="I146" s="9" t="n">
        <v>46964</v>
      </c>
      <c r="J146" s="8" t="n">
        <v>12.6</v>
      </c>
      <c r="K146" s="8" t="s">
        <v>41</v>
      </c>
      <c r="L146" s="8" t="s">
        <v>19</v>
      </c>
      <c r="M146" s="10"/>
      <c r="N146" s="11"/>
      <c r="O146" s="10"/>
    </row>
    <row r="147" customFormat="false" ht="15" hidden="false" customHeight="false" outlineLevel="0" collapsed="false">
      <c r="A147" s="7" t="s">
        <v>482</v>
      </c>
      <c r="B147" s="7"/>
      <c r="C147" s="8" t="s">
        <v>483</v>
      </c>
      <c r="D147" s="8" t="s">
        <v>480</v>
      </c>
      <c r="E147" s="7" t="s">
        <v>484</v>
      </c>
      <c r="F147" s="7" t="s">
        <v>39</v>
      </c>
      <c r="G147" s="8" t="str">
        <f aca="false">IF(SUBSTITUTE(F147,".","")=TRIM(E147),"OK","DIVERGE")</f>
        <v>DIVERGE</v>
      </c>
      <c r="H147" s="7" t="s">
        <v>481</v>
      </c>
      <c r="I147" s="9" t="n">
        <v>46964</v>
      </c>
      <c r="J147" s="8" t="n">
        <v>12.6</v>
      </c>
      <c r="K147" s="8" t="s">
        <v>41</v>
      </c>
      <c r="L147" s="8" t="s">
        <v>19</v>
      </c>
      <c r="M147" s="10"/>
      <c r="N147" s="11"/>
      <c r="O147" s="10"/>
    </row>
  </sheetData>
  <autoFilter ref="A1:O147"/>
  <conditionalFormatting sqref="G2:G147">
    <cfRule type="cellIs" priority="2" operator="equal" aboveAverage="0" equalAverage="0" bottom="0" percent="0" rank="0" text="" dxfId="5">
      <formula>"DIVERGE"</formula>
    </cfRule>
  </conditionalFormatting>
  <dataValidations count="1">
    <dataValidation allowBlank="true" errorStyle="stop" operator="between" showDropDown="false" showErrorMessage="false" showInputMessage="false" sqref="M2:M147" type="list">
      <formula1>"OK,CORRIGIR"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4"/>
    <col collapsed="false" customWidth="true" hidden="false" outlineLevel="0" max="4" min="4" style="0" width="18"/>
    <col collapsed="false" customWidth="true" hidden="false" outlineLevel="0" max="5" min="5" style="0" width="10"/>
    <col collapsed="false" customWidth="true" hidden="false" outlineLevel="0" max="6" min="6" style="0" width="16"/>
    <col collapsed="false" customWidth="true" hidden="false" outlineLevel="0" max="7" min="7" style="0" width="90"/>
    <col collapsed="false" customWidth="true" hidden="false" outlineLevel="0" max="8" min="8" style="0" width="13"/>
    <col collapsed="false" customWidth="true" hidden="false" outlineLevel="0" max="9" min="9" style="0" width="30"/>
  </cols>
  <sheetData>
    <row r="1" customFormat="false" ht="31.5" hidden="false" customHeight="true" outlineLevel="0" collapsed="false">
      <c r="A1" s="6" t="s">
        <v>19</v>
      </c>
      <c r="B1" s="6" t="s">
        <v>485</v>
      </c>
      <c r="C1" s="6" t="s">
        <v>486</v>
      </c>
      <c r="D1" s="6" t="s">
        <v>487</v>
      </c>
      <c r="E1" s="6" t="s">
        <v>488</v>
      </c>
      <c r="F1" s="6" t="s">
        <v>489</v>
      </c>
      <c r="G1" s="6" t="s">
        <v>490</v>
      </c>
      <c r="H1" s="6" t="s">
        <v>31</v>
      </c>
      <c r="I1" s="6" t="s">
        <v>33</v>
      </c>
    </row>
    <row r="2" customFormat="false" ht="22.35" hidden="false" customHeight="false" outlineLevel="0" collapsed="false">
      <c r="A2" s="12" t="s">
        <v>491</v>
      </c>
      <c r="B2" s="12" t="s">
        <v>492</v>
      </c>
      <c r="C2" s="12" t="s">
        <v>492</v>
      </c>
      <c r="D2" s="12"/>
      <c r="E2" s="12"/>
      <c r="F2" s="12" t="s">
        <v>493</v>
      </c>
      <c r="G2" s="12" t="s">
        <v>494</v>
      </c>
      <c r="H2" s="13"/>
      <c r="I2" s="13"/>
    </row>
    <row r="3" customFormat="false" ht="22.35" hidden="false" customHeight="false" outlineLevel="0" collapsed="false">
      <c r="A3" s="12" t="s">
        <v>495</v>
      </c>
      <c r="B3" s="12" t="s">
        <v>496</v>
      </c>
      <c r="C3" s="12" t="s">
        <v>496</v>
      </c>
      <c r="D3" s="12"/>
      <c r="E3" s="12"/>
      <c r="F3" s="12" t="s">
        <v>493</v>
      </c>
      <c r="G3" s="12" t="s">
        <v>497</v>
      </c>
      <c r="H3" s="13"/>
      <c r="I3" s="13"/>
    </row>
    <row r="4" customFormat="false" ht="32.8" hidden="false" customHeight="false" outlineLevel="0" collapsed="false">
      <c r="A4" s="12" t="s">
        <v>498</v>
      </c>
      <c r="B4" s="12" t="s">
        <v>499</v>
      </c>
      <c r="C4" s="12" t="s">
        <v>499</v>
      </c>
      <c r="D4" s="12"/>
      <c r="E4" s="12"/>
      <c r="F4" s="12" t="s">
        <v>493</v>
      </c>
      <c r="G4" s="12" t="s">
        <v>500</v>
      </c>
      <c r="H4" s="13"/>
      <c r="I4" s="13"/>
    </row>
    <row r="5" customFormat="false" ht="64.15" hidden="false" customHeight="false" outlineLevel="0" collapsed="false">
      <c r="A5" s="12" t="s">
        <v>501</v>
      </c>
      <c r="B5" s="12" t="s">
        <v>502</v>
      </c>
      <c r="C5" s="12" t="s">
        <v>502</v>
      </c>
      <c r="D5" s="12" t="s">
        <v>493</v>
      </c>
      <c r="E5" s="12" t="s">
        <v>397</v>
      </c>
      <c r="F5" s="12" t="s">
        <v>493</v>
      </c>
      <c r="G5" s="12" t="s">
        <v>503</v>
      </c>
      <c r="H5" s="13"/>
      <c r="I5" s="13"/>
    </row>
    <row r="6" customFormat="false" ht="53.7" hidden="false" customHeight="false" outlineLevel="0" collapsed="false">
      <c r="A6" s="12" t="s">
        <v>504</v>
      </c>
      <c r="B6" s="12" t="s">
        <v>505</v>
      </c>
      <c r="C6" s="12" t="s">
        <v>506</v>
      </c>
      <c r="D6" s="12" t="s">
        <v>493</v>
      </c>
      <c r="E6" s="12" t="s">
        <v>388</v>
      </c>
      <c r="F6" s="12" t="s">
        <v>493</v>
      </c>
      <c r="G6" s="12" t="s">
        <v>507</v>
      </c>
      <c r="H6" s="13"/>
      <c r="I6" s="13"/>
    </row>
    <row r="7" customFormat="false" ht="53.7" hidden="false" customHeight="false" outlineLevel="0" collapsed="false">
      <c r="A7" s="12" t="s">
        <v>508</v>
      </c>
      <c r="B7" s="12" t="s">
        <v>509</v>
      </c>
      <c r="C7" s="12" t="s">
        <v>506</v>
      </c>
      <c r="D7" s="12" t="s">
        <v>493</v>
      </c>
      <c r="E7" s="12" t="s">
        <v>397</v>
      </c>
      <c r="F7" s="12" t="s">
        <v>493</v>
      </c>
      <c r="G7" s="12" t="s">
        <v>510</v>
      </c>
      <c r="H7" s="13"/>
      <c r="I7" s="13"/>
    </row>
    <row r="8" customFormat="false" ht="15" hidden="false" customHeight="false" outlineLevel="0" collapsed="false">
      <c r="A8" s="12" t="s">
        <v>511</v>
      </c>
      <c r="B8" s="12" t="s">
        <v>512</v>
      </c>
      <c r="C8" s="12" t="s">
        <v>506</v>
      </c>
      <c r="D8" s="12"/>
      <c r="E8" s="12"/>
      <c r="F8" s="12" t="s">
        <v>493</v>
      </c>
      <c r="G8" s="12" t="s">
        <v>513</v>
      </c>
      <c r="H8" s="13"/>
      <c r="I8"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2026-10-02T17:39:53Z</dcterms:created>
  <dc:creator>openpyxl</dc:creator>
  <dc:description/>
  <dc:language>en-US</dc:language>
  <cp:lastModifiedBy/>
  <dcterms:modified xsi:type="dcterms:W3CDTF">2026-10-02T17:39:53Z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